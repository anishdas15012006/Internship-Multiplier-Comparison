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esktop_D\Anish\Anish\Study\DSP Accelerator\Internship_Multiplier_Comparison\reports\"/>
    </mc:Choice>
  </mc:AlternateContent>
  <xr:revisionPtr revIDLastSave="0" documentId="13_ncr:1_{067E1210-2EE3-45E4-B840-FCE299505345}" xr6:coauthVersionLast="47" xr6:coauthVersionMax="47" xr10:uidLastSave="{00000000-0000-0000-0000-000000000000}"/>
  <bookViews>
    <workbookView xWindow="-110" yWindow="-110" windowWidth="19420" windowHeight="10300" xr2:uid="{1DA47199-C6EB-44A0-A1FC-1DD7D9895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4" i="1" l="1" a="1"/>
  <c r="T24" i="1" s="1"/>
  <c r="T23" i="1" a="1"/>
  <c r="T23" i="1" s="1"/>
  <c r="T22" i="1" a="1"/>
  <c r="T22" i="1" s="1"/>
  <c r="C47" i="1" a="1"/>
  <c r="C47" i="1" s="1"/>
  <c r="C46" i="1" a="1"/>
  <c r="D46" i="1" s="1"/>
  <c r="C45" i="1" a="1"/>
  <c r="C45" i="1" s="1"/>
  <c r="R46" i="1" l="1"/>
  <c r="J46" i="1"/>
  <c r="V46" i="1"/>
  <c r="N46" i="1"/>
  <c r="F46" i="1"/>
  <c r="O46" i="1"/>
  <c r="G46" i="1"/>
  <c r="S46" i="1"/>
  <c r="K46" i="1"/>
  <c r="C46" i="1"/>
  <c r="V47" i="1"/>
  <c r="R47" i="1"/>
  <c r="J47" i="1"/>
  <c r="U47" i="1"/>
  <c r="M47" i="1"/>
  <c r="E47" i="1"/>
  <c r="T47" i="1"/>
  <c r="P47" i="1"/>
  <c r="L47" i="1"/>
  <c r="H47" i="1"/>
  <c r="D47" i="1"/>
  <c r="N47" i="1"/>
  <c r="F47" i="1"/>
  <c r="Q47" i="1"/>
  <c r="I47" i="1"/>
  <c r="S47" i="1"/>
  <c r="O47" i="1"/>
  <c r="K47" i="1"/>
  <c r="G47" i="1"/>
  <c r="U46" i="1"/>
  <c r="Q46" i="1"/>
  <c r="M46" i="1"/>
  <c r="I46" i="1"/>
  <c r="E46" i="1"/>
  <c r="T46" i="1"/>
  <c r="P46" i="1"/>
  <c r="L46" i="1"/>
  <c r="H46" i="1"/>
  <c r="V45" i="1"/>
  <c r="N45" i="1"/>
  <c r="F45" i="1"/>
  <c r="Q45" i="1"/>
  <c r="I45" i="1"/>
  <c r="T45" i="1"/>
  <c r="L45" i="1"/>
  <c r="D45" i="1"/>
  <c r="R45" i="1"/>
  <c r="J45" i="1"/>
  <c r="U45" i="1"/>
  <c r="M45" i="1"/>
  <c r="E45" i="1"/>
  <c r="P45" i="1"/>
  <c r="H45" i="1"/>
  <c r="S45" i="1"/>
  <c r="O45" i="1"/>
  <c r="K45" i="1"/>
  <c r="G45" i="1"/>
</calcChain>
</file>

<file path=xl/sharedStrings.xml><?xml version="1.0" encoding="utf-8"?>
<sst xmlns="http://schemas.openxmlformats.org/spreadsheetml/2006/main" count="227" uniqueCount="87">
  <si>
    <t>Logic Elements / LUTs</t>
  </si>
  <si>
    <t>Combinational Functions</t>
  </si>
  <si>
    <t>Dedicated Logic Registers</t>
  </si>
  <si>
    <t>Total Pins</t>
  </si>
  <si>
    <t>Critical Path Delay (ns)</t>
  </si>
  <si>
    <t>Total Thermal Power</t>
  </si>
  <si>
    <t>Resource Utilization (%)</t>
  </si>
  <si>
    <t>Compilation Time (Optional)</t>
  </si>
  <si>
    <t>Metric</t>
  </si>
  <si>
    <t>Why it matters?</t>
  </si>
  <si>
    <t>Overall FPGA Area</t>
  </si>
  <si>
    <t>Shows actual combinational logic used</t>
  </si>
  <si>
    <t>Sequential hardware used (mostly wrapper FFs)</t>
  </si>
  <si>
    <t>Mostly constant, useful to verify interfaces</t>
  </si>
  <si>
    <t>Maximum Operating Clock</t>
  </si>
  <si>
    <t>Direct Speed Comparison</t>
  </si>
  <si>
    <t>Idle Power</t>
  </si>
  <si>
    <t>Switching Power</t>
  </si>
  <si>
    <t>Total Power</t>
  </si>
  <si>
    <t>FPGA occupancy</t>
  </si>
  <si>
    <t>Interesting but not a comparison metric</t>
  </si>
  <si>
    <t>Wallace</t>
  </si>
  <si>
    <t>Synthesis Results</t>
  </si>
  <si>
    <t>All are 16 x 16 multipliers</t>
  </si>
  <si>
    <r>
      <rPr>
        <b/>
        <sz val="11"/>
        <color theme="1"/>
        <rFont val="Aptos Narrow"/>
        <family val="2"/>
        <scheme val="minor"/>
      </rPr>
      <t>Target FPGA</t>
    </r>
    <r>
      <rPr>
        <sz val="11"/>
        <color theme="1"/>
        <rFont val="Aptos Narrow"/>
        <family val="2"/>
        <scheme val="minor"/>
      </rPr>
      <t xml:space="preserve"> : EP2C35F672C7</t>
    </r>
  </si>
  <si>
    <t>Maximum Frequency (Fmax) (MHz)</t>
  </si>
  <si>
    <t>Static Thermal Power (mW)</t>
  </si>
  <si>
    <t>Dynamic Thermal Power (mW)</t>
  </si>
  <si>
    <t>I/O Thermal Power (mW)</t>
  </si>
  <si>
    <t>Dadda</t>
  </si>
  <si>
    <t>Same across the same board so can be ignored</t>
  </si>
  <si>
    <t>Row Adder</t>
  </si>
  <si>
    <t>Custom Greedy</t>
  </si>
  <si>
    <t>Vedic</t>
  </si>
  <si>
    <t>Braun</t>
  </si>
  <si>
    <t>Radix2</t>
  </si>
  <si>
    <t>Radix4</t>
  </si>
  <si>
    <t>Radix8</t>
  </si>
  <si>
    <t>Booth Wallace</t>
  </si>
  <si>
    <t>Booth Dadda</t>
  </si>
  <si>
    <t>Baugh-Wooley</t>
  </si>
  <si>
    <t>Signed</t>
  </si>
  <si>
    <t>To know what sort of operations it can perform</t>
  </si>
  <si>
    <t>No</t>
  </si>
  <si>
    <t>Yes</t>
  </si>
  <si>
    <t>LE x Delay</t>
  </si>
  <si>
    <t>Dynamic Power x Delay</t>
  </si>
  <si>
    <r>
      <t>Dynamic Power x Delay</t>
    </r>
    <r>
      <rPr>
        <sz val="11"/>
        <color theme="1"/>
        <rFont val="Aptos Narrow"/>
        <family val="2"/>
      </rPr>
      <t>²</t>
    </r>
  </si>
  <si>
    <t>Area Delay Product (ADP) (LE.ns)</t>
  </si>
  <si>
    <t>Energy Delay Product (EDP) (nJ.ns)</t>
  </si>
  <si>
    <t>Power Delay Product (PDP) (nJ)</t>
  </si>
  <si>
    <r>
      <rPr>
        <b/>
        <sz val="11"/>
        <color theme="1"/>
        <rFont val="Aptos Narrow"/>
        <family val="2"/>
        <scheme val="minor"/>
      </rPr>
      <t xml:space="preserve">Pipelining Standards : </t>
    </r>
    <r>
      <rPr>
        <sz val="11"/>
        <color theme="1"/>
        <rFont val="Aptos Narrow"/>
        <family val="2"/>
        <scheme val="minor"/>
      </rPr>
      <t>I/P Register + Every 2 Stage Registers + O/P Register</t>
    </r>
  </si>
  <si>
    <t>Array Carry Save</t>
  </si>
  <si>
    <t>Tree Vector Carry Save</t>
  </si>
  <si>
    <t>Linear Vector Carry Save</t>
  </si>
  <si>
    <r>
      <rPr>
        <b/>
        <sz val="11"/>
        <color theme="1"/>
        <rFont val="Aptos Narrow"/>
        <family val="2"/>
        <scheme val="minor"/>
      </rPr>
      <t xml:space="preserve">Adder Used : </t>
    </r>
    <r>
      <rPr>
        <sz val="11"/>
        <color theme="1"/>
        <rFont val="Aptos Narrow"/>
        <family val="2"/>
        <scheme val="minor"/>
      </rPr>
      <t>Ripple Carry Adder (RCA)</t>
    </r>
  </si>
  <si>
    <t>Carry Save</t>
  </si>
  <si>
    <r>
      <rPr>
        <b/>
        <sz val="11"/>
        <color theme="1"/>
        <rFont val="Aptos Narrow"/>
        <family val="2"/>
        <scheme val="minor"/>
      </rPr>
      <t xml:space="preserve">Pipelining Standards : </t>
    </r>
    <r>
      <rPr>
        <sz val="11"/>
        <color theme="1"/>
        <rFont val="Aptos Narrow"/>
        <family val="2"/>
        <scheme val="minor"/>
      </rPr>
      <t xml:space="preserve">No Pipelining </t>
    </r>
    <r>
      <rPr>
        <i/>
        <sz val="11"/>
        <color theme="1"/>
        <rFont val="Aptos Narrow"/>
        <family val="2"/>
        <scheme val="minor"/>
      </rPr>
      <t>(I/P Register + O/P Register)</t>
    </r>
  </si>
  <si>
    <t>Sequential hardware used</t>
  </si>
  <si>
    <t>Wallace (with KSA)</t>
  </si>
  <si>
    <t>Adders Comparison</t>
  </si>
  <si>
    <t>RCA</t>
  </si>
  <si>
    <t>Kogge-Stone</t>
  </si>
  <si>
    <t>Brent-Kung</t>
  </si>
  <si>
    <t>Han-Carlson</t>
  </si>
  <si>
    <t>Ladner-Fischer</t>
  </si>
  <si>
    <t>Carry-Skip</t>
  </si>
  <si>
    <t>Carry-Select</t>
  </si>
  <si>
    <t>Parallel Prefix CLA</t>
  </si>
  <si>
    <t>Hierarchial CLA</t>
  </si>
  <si>
    <t>Block CLA</t>
  </si>
  <si>
    <t>Sklansky</t>
  </si>
  <si>
    <t>Knowles (Hybrid 4)</t>
  </si>
  <si>
    <t>Knowles (Hybrid 2)</t>
  </si>
  <si>
    <t>Knowles (Kogge-Stone)</t>
  </si>
  <si>
    <t>Knowles (Ladner-Fischer)</t>
  </si>
  <si>
    <t>Fan-Out Vector</t>
  </si>
  <si>
    <t>1, 1, 1, 1, 1, 1, 1, 1</t>
  </si>
  <si>
    <t>1, 2, 4, 8, 16, 32, 64, 128</t>
  </si>
  <si>
    <t>1, 1, 2, 2, 2, 2, 2, 2</t>
  </si>
  <si>
    <t>1, 1, 2, 4, 4, 4, 4, 4</t>
  </si>
  <si>
    <t>Ling</t>
  </si>
  <si>
    <t>Sparse Kogge-Stone</t>
  </si>
  <si>
    <t>Sparse Brent-Kung</t>
  </si>
  <si>
    <t>Kogge-Stone (Radix-4)</t>
  </si>
  <si>
    <t>Manchester Carry</t>
  </si>
  <si>
    <r>
      <rPr>
        <b/>
        <sz val="11"/>
        <color theme="1"/>
        <rFont val="Aptos Narrow"/>
        <family val="2"/>
        <scheme val="minor"/>
      </rPr>
      <t>Module Used :</t>
    </r>
    <r>
      <rPr>
        <sz val="11"/>
        <color theme="1"/>
        <rFont val="Aptos Narrow"/>
        <family val="2"/>
        <scheme val="minor"/>
      </rPr>
      <t xml:space="preserve"> 16 x 16 Wallace Multiplier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</si>
</sst>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Maximum Frequency (Fmax) (MHz)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Sheet1!$C$14:$I$14</c:f>
              <c:strCache>
                <c:ptCount val="7"/>
                <c:pt idx="0">
                  <c:v>96.06</c:v>
                </c:pt>
                <c:pt idx="1">
                  <c:v>79.01</c:v>
                </c:pt>
                <c:pt idx="2">
                  <c:v>219.83</c:v>
                </c:pt>
                <c:pt idx="3">
                  <c:v>92.43</c:v>
                </c:pt>
                <c:pt idx="4">
                  <c:v>114.2</c:v>
                </c:pt>
                <c:pt idx="5">
                  <c:v>113.9</c:v>
                </c:pt>
                <c:pt idx="6">
                  <c:v>93.41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Sheet1!$J$14:$Q$14</c:f>
              <c:numCache>
                <c:formatCode>General</c:formatCode>
                <c:ptCount val="8"/>
                <c:pt idx="0">
                  <c:v>81.67</c:v>
                </c:pt>
                <c:pt idx="1">
                  <c:v>114.3</c:v>
                </c:pt>
                <c:pt idx="2">
                  <c:v>100.93</c:v>
                </c:pt>
                <c:pt idx="3">
                  <c:v>94.57</c:v>
                </c:pt>
                <c:pt idx="4">
                  <c:v>93.46</c:v>
                </c:pt>
                <c:pt idx="5">
                  <c:v>69.900000000000006</c:v>
                </c:pt>
                <c:pt idx="6">
                  <c:v>79.14</c:v>
                </c:pt>
                <c:pt idx="7">
                  <c:v>78.45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2-48E7-A1FD-DBA616976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01280"/>
        <c:axId val="2091697199"/>
      </c:barChart>
      <c:catAx>
        <c:axId val="22770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97199"/>
        <c:crosses val="autoZero"/>
        <c:auto val="1"/>
        <c:lblAlgn val="ctr"/>
        <c:lblOffset val="100"/>
        <c:noMultiLvlLbl val="0"/>
      </c:catAx>
      <c:valAx>
        <c:axId val="20916971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7012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Critical Path Delay (ns)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Sheet1!$C$15:$I$15</c:f>
              <c:strCache>
                <c:ptCount val="7"/>
                <c:pt idx="0">
                  <c:v>10.41</c:v>
                </c:pt>
                <c:pt idx="1">
                  <c:v>12.66</c:v>
                </c:pt>
                <c:pt idx="2">
                  <c:v>4.55</c:v>
                </c:pt>
                <c:pt idx="3">
                  <c:v>10.82</c:v>
                </c:pt>
                <c:pt idx="4">
                  <c:v>8.76</c:v>
                </c:pt>
                <c:pt idx="5">
                  <c:v>8.78</c:v>
                </c:pt>
                <c:pt idx="6">
                  <c:v>10.71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Sheet1!$J$15:$Q$15</c:f>
              <c:numCache>
                <c:formatCode>General</c:formatCode>
                <c:ptCount val="8"/>
                <c:pt idx="0">
                  <c:v>12.24</c:v>
                </c:pt>
                <c:pt idx="1">
                  <c:v>8.75</c:v>
                </c:pt>
                <c:pt idx="2">
                  <c:v>9.91</c:v>
                </c:pt>
                <c:pt idx="3">
                  <c:v>10.57</c:v>
                </c:pt>
                <c:pt idx="4">
                  <c:v>10.7</c:v>
                </c:pt>
                <c:pt idx="5">
                  <c:v>14.31</c:v>
                </c:pt>
                <c:pt idx="6">
                  <c:v>12.64</c:v>
                </c:pt>
                <c:pt idx="7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4C98-8CF1-97E9D70CC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04992"/>
        <c:axId val="2091715919"/>
      </c:barChart>
      <c:catAx>
        <c:axId val="22770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715919"/>
        <c:crosses val="autoZero"/>
        <c:auto val="1"/>
        <c:lblAlgn val="ctr"/>
        <c:lblOffset val="100"/>
        <c:noMultiLvlLbl val="0"/>
      </c:catAx>
      <c:valAx>
        <c:axId val="20917159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7049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Static Thermal Power (mW)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Sheet1!$C$16:$I$16</c:f>
              <c:strCache>
                <c:ptCount val="7"/>
                <c:pt idx="0">
                  <c:v>80.2</c:v>
                </c:pt>
                <c:pt idx="1">
                  <c:v>80.18</c:v>
                </c:pt>
                <c:pt idx="2">
                  <c:v>80.28</c:v>
                </c:pt>
                <c:pt idx="3">
                  <c:v>80.23</c:v>
                </c:pt>
                <c:pt idx="4">
                  <c:v>80.22</c:v>
                </c:pt>
                <c:pt idx="5">
                  <c:v>80.22</c:v>
                </c:pt>
                <c:pt idx="6">
                  <c:v>80.18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Sheet1!$J$16:$Q$16</c:f>
              <c:numCache>
                <c:formatCode>General</c:formatCode>
                <c:ptCount val="8"/>
                <c:pt idx="0">
                  <c:v>80.22</c:v>
                </c:pt>
                <c:pt idx="1">
                  <c:v>80.209999999999994</c:v>
                </c:pt>
                <c:pt idx="2">
                  <c:v>80.22</c:v>
                </c:pt>
                <c:pt idx="3">
                  <c:v>80.209999999999994</c:v>
                </c:pt>
                <c:pt idx="4">
                  <c:v>80.260000000000005</c:v>
                </c:pt>
                <c:pt idx="5">
                  <c:v>80.209999999999994</c:v>
                </c:pt>
                <c:pt idx="6">
                  <c:v>80.209999999999994</c:v>
                </c:pt>
                <c:pt idx="7">
                  <c:v>80.23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CF8-A42D-47154C43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02672"/>
        <c:axId val="2091734639"/>
      </c:barChart>
      <c:catAx>
        <c:axId val="22770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734639"/>
        <c:crosses val="autoZero"/>
        <c:auto val="1"/>
        <c:lblAlgn val="ctr"/>
        <c:lblOffset val="100"/>
        <c:noMultiLvlLbl val="0"/>
      </c:catAx>
      <c:valAx>
        <c:axId val="20917346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70267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Dynamic Thermal Power (mW)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Sheet1!$C$17:$I$17</c:f>
              <c:strCache>
                <c:ptCount val="7"/>
                <c:pt idx="0">
                  <c:v>18.53</c:v>
                </c:pt>
                <c:pt idx="1">
                  <c:v>18.18</c:v>
                </c:pt>
                <c:pt idx="2">
                  <c:v>43.57</c:v>
                </c:pt>
                <c:pt idx="3">
                  <c:v>32.79</c:v>
                </c:pt>
                <c:pt idx="4">
                  <c:v>25.81</c:v>
                </c:pt>
                <c:pt idx="5">
                  <c:v>26.46</c:v>
                </c:pt>
                <c:pt idx="6">
                  <c:v>19.05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Sheet1!$J$17:$Q$17</c:f>
              <c:numCache>
                <c:formatCode>General</c:formatCode>
                <c:ptCount val="8"/>
                <c:pt idx="0">
                  <c:v>29.8</c:v>
                </c:pt>
                <c:pt idx="1">
                  <c:v>25.89</c:v>
                </c:pt>
                <c:pt idx="2">
                  <c:v>27.26</c:v>
                </c:pt>
                <c:pt idx="3">
                  <c:v>23.9</c:v>
                </c:pt>
                <c:pt idx="4">
                  <c:v>35.630000000000003</c:v>
                </c:pt>
                <c:pt idx="5">
                  <c:v>24.41</c:v>
                </c:pt>
                <c:pt idx="6">
                  <c:v>22.67</c:v>
                </c:pt>
                <c:pt idx="7">
                  <c:v>31.32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D-48F2-927D-3DE2BBC28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696640"/>
        <c:axId val="2091634319"/>
      </c:barChart>
      <c:catAx>
        <c:axId val="22769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34319"/>
        <c:crosses val="autoZero"/>
        <c:auto val="1"/>
        <c:lblAlgn val="ctr"/>
        <c:lblOffset val="100"/>
        <c:noMultiLvlLbl val="0"/>
      </c:catAx>
      <c:valAx>
        <c:axId val="20916343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6966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I/O Thermal Power (mW)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Sheet1!$C$18:$I$18</c:f>
              <c:strCache>
                <c:ptCount val="7"/>
                <c:pt idx="0">
                  <c:v>92.83</c:v>
                </c:pt>
                <c:pt idx="1">
                  <c:v>89.06</c:v>
                </c:pt>
                <c:pt idx="2">
                  <c:v>91.7</c:v>
                </c:pt>
                <c:pt idx="3">
                  <c:v>90.14</c:v>
                </c:pt>
                <c:pt idx="4">
                  <c:v>91.89</c:v>
                </c:pt>
                <c:pt idx="5">
                  <c:v>92.8</c:v>
                </c:pt>
                <c:pt idx="6">
                  <c:v>89.09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Sheet1!$J$18:$Q$18</c:f>
              <c:numCache>
                <c:formatCode>General</c:formatCode>
                <c:ptCount val="8"/>
                <c:pt idx="0">
                  <c:v>88.35</c:v>
                </c:pt>
                <c:pt idx="1">
                  <c:v>88.79</c:v>
                </c:pt>
                <c:pt idx="2">
                  <c:v>92.87</c:v>
                </c:pt>
                <c:pt idx="3">
                  <c:v>91.12</c:v>
                </c:pt>
                <c:pt idx="4">
                  <c:v>94.08</c:v>
                </c:pt>
                <c:pt idx="5">
                  <c:v>92.64</c:v>
                </c:pt>
                <c:pt idx="6">
                  <c:v>92.91</c:v>
                </c:pt>
                <c:pt idx="7">
                  <c:v>89.75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8-486B-85F6-B030E68AF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16128"/>
        <c:axId val="2091667439"/>
      </c:barChart>
      <c:catAx>
        <c:axId val="22771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67439"/>
        <c:crosses val="autoZero"/>
        <c:auto val="1"/>
        <c:lblAlgn val="ctr"/>
        <c:lblOffset val="100"/>
        <c:noMultiLvlLbl val="0"/>
      </c:catAx>
      <c:valAx>
        <c:axId val="20916674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7161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Thermal Power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Sheet1!$C$19:$I$19</c:f>
              <c:strCache>
                <c:ptCount val="7"/>
                <c:pt idx="0">
                  <c:v>191.55</c:v>
                </c:pt>
                <c:pt idx="1">
                  <c:v>187.42</c:v>
                </c:pt>
                <c:pt idx="2">
                  <c:v>215.55</c:v>
                </c:pt>
                <c:pt idx="3">
                  <c:v>203.17</c:v>
                </c:pt>
                <c:pt idx="4">
                  <c:v>197.91</c:v>
                </c:pt>
                <c:pt idx="5">
                  <c:v>199.49</c:v>
                </c:pt>
                <c:pt idx="6">
                  <c:v>188.33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Sheet1!$J$19:$Q$19</c:f>
              <c:numCache>
                <c:formatCode>General</c:formatCode>
                <c:ptCount val="8"/>
                <c:pt idx="0">
                  <c:v>198.37</c:v>
                </c:pt>
                <c:pt idx="1">
                  <c:v>194.9</c:v>
                </c:pt>
                <c:pt idx="2">
                  <c:v>200.36</c:v>
                </c:pt>
                <c:pt idx="3">
                  <c:v>195.22</c:v>
                </c:pt>
                <c:pt idx="4">
                  <c:v>209.96</c:v>
                </c:pt>
                <c:pt idx="5">
                  <c:v>197.25</c:v>
                </c:pt>
                <c:pt idx="6">
                  <c:v>195.79</c:v>
                </c:pt>
                <c:pt idx="7">
                  <c:v>201.3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A-495D-BCA9-8FB7BB99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10560"/>
        <c:axId val="2091681839"/>
      </c:barChart>
      <c:catAx>
        <c:axId val="22771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81839"/>
        <c:crosses val="autoZero"/>
        <c:auto val="1"/>
        <c:lblAlgn val="ctr"/>
        <c:lblOffset val="100"/>
        <c:noMultiLvlLbl val="0"/>
      </c:catAx>
      <c:valAx>
        <c:axId val="20916818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7105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Resource Utilization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Sheet1!$C$20:$I$20</c:f>
              <c:strCache>
                <c:ptCount val="7"/>
                <c:pt idx="0">
                  <c:v>2%</c:v>
                </c:pt>
                <c:pt idx="1">
                  <c:v>2%</c:v>
                </c:pt>
                <c:pt idx="2">
                  <c:v>8%</c:v>
                </c:pt>
                <c:pt idx="3">
                  <c:v>4%</c:v>
                </c:pt>
                <c:pt idx="4">
                  <c:v>4%</c:v>
                </c:pt>
                <c:pt idx="5">
                  <c:v>4%</c:v>
                </c:pt>
                <c:pt idx="6">
                  <c:v>2%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Sheet1!$J$20:$Q$20</c:f>
              <c:numCache>
                <c:formatCode>0%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B-4BCA-982C-E52094982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11024"/>
        <c:axId val="2091696719"/>
      </c:barChart>
      <c:catAx>
        <c:axId val="22771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96719"/>
        <c:crosses val="autoZero"/>
        <c:auto val="1"/>
        <c:lblAlgn val="ctr"/>
        <c:lblOffset val="100"/>
        <c:noMultiLvlLbl val="0"/>
      </c:catAx>
      <c:valAx>
        <c:axId val="2091696719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277110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Signed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Sheet1!$C$21:$I$21</c:f>
              <c:strCache>
                <c:ptCount val="7"/>
                <c:pt idx="0">
                  <c:v>No</c:v>
                </c:pt>
                <c:pt idx="1">
                  <c:v>No</c:v>
                </c:pt>
                <c:pt idx="2">
                  <c:v>No</c:v>
                </c:pt>
                <c:pt idx="3">
                  <c:v>No</c:v>
                </c:pt>
                <c:pt idx="4">
                  <c:v>No</c:v>
                </c:pt>
                <c:pt idx="5">
                  <c:v>No</c:v>
                </c:pt>
                <c:pt idx="6">
                  <c:v>No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Sheet1!$J$21:$Q$21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C-482E-9970-E81CC0663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12880"/>
        <c:axId val="2091725519"/>
      </c:barChart>
      <c:catAx>
        <c:axId val="22771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725519"/>
        <c:crosses val="autoZero"/>
        <c:auto val="1"/>
        <c:lblAlgn val="ctr"/>
        <c:lblOffset val="100"/>
        <c:noMultiLvlLbl val="0"/>
      </c:catAx>
      <c:valAx>
        <c:axId val="2091725519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277128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Area Delay Product (ADP) (LE.ns)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Sheet1!$C$22:$I$22</c:f>
              <c:strCache>
                <c:ptCount val="7"/>
                <c:pt idx="0">
                  <c:v>7974.06</c:v>
                </c:pt>
                <c:pt idx="1">
                  <c:v>9621.60</c:v>
                </c:pt>
                <c:pt idx="2">
                  <c:v>11434.15</c:v>
                </c:pt>
                <c:pt idx="3">
                  <c:v>14736.84</c:v>
                </c:pt>
                <c:pt idx="4">
                  <c:v>11992.44</c:v>
                </c:pt>
                <c:pt idx="5">
                  <c:v>12011.04</c:v>
                </c:pt>
                <c:pt idx="6">
                  <c:v>8482.32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Sheet1!$J$22:$Q$22</c:f>
              <c:numCache>
                <c:formatCode>0.00</c:formatCode>
                <c:ptCount val="8"/>
                <c:pt idx="0">
                  <c:v>10661.04</c:v>
                </c:pt>
                <c:pt idx="1">
                  <c:v>11970</c:v>
                </c:pt>
                <c:pt idx="2">
                  <c:v>9028.01</c:v>
                </c:pt>
                <c:pt idx="3">
                  <c:v>6595.68</c:v>
                </c:pt>
                <c:pt idx="4">
                  <c:v>8474.4</c:v>
                </c:pt>
                <c:pt idx="5">
                  <c:v>12850.38</c:v>
                </c:pt>
                <c:pt idx="6">
                  <c:v>7659.84</c:v>
                </c:pt>
                <c:pt idx="7">
                  <c:v>9804.75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A-48E9-A338-91CEFF120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18912"/>
        <c:axId val="2091618479"/>
      </c:barChart>
      <c:catAx>
        <c:axId val="22771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18479"/>
        <c:crosses val="autoZero"/>
        <c:auto val="1"/>
        <c:lblAlgn val="ctr"/>
        <c:lblOffset val="100"/>
        <c:noMultiLvlLbl val="0"/>
      </c:catAx>
      <c:valAx>
        <c:axId val="2091618479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27718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Power Delay Product (PDP) (nJ)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Sheet1!$C$23:$I$23</c:f>
              <c:strCache>
                <c:ptCount val="7"/>
                <c:pt idx="0">
                  <c:v>0.193</c:v>
                </c:pt>
                <c:pt idx="1">
                  <c:v>0.230</c:v>
                </c:pt>
                <c:pt idx="2">
                  <c:v>0.198</c:v>
                </c:pt>
                <c:pt idx="3">
                  <c:v>0.355</c:v>
                </c:pt>
                <c:pt idx="4">
                  <c:v>0.226</c:v>
                </c:pt>
                <c:pt idx="5">
                  <c:v>0.232</c:v>
                </c:pt>
                <c:pt idx="6">
                  <c:v>0.204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Sheet1!$J$23:$Q$23</c:f>
              <c:numCache>
                <c:formatCode>0.000</c:formatCode>
                <c:ptCount val="8"/>
                <c:pt idx="0">
                  <c:v>0.36470000000000002</c:v>
                </c:pt>
                <c:pt idx="1">
                  <c:v>0.22650000000000001</c:v>
                </c:pt>
                <c:pt idx="2">
                  <c:v>0.27010000000000001</c:v>
                </c:pt>
                <c:pt idx="3">
                  <c:v>0.25259999999999999</c:v>
                </c:pt>
                <c:pt idx="4">
                  <c:v>0.38119999999999998</c:v>
                </c:pt>
                <c:pt idx="5">
                  <c:v>0.3493</c:v>
                </c:pt>
                <c:pt idx="6">
                  <c:v>0.28649999999999998</c:v>
                </c:pt>
                <c:pt idx="7">
                  <c:v>0.39933000000000002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0-491A-A714-F30199621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30512"/>
        <c:axId val="2091670319"/>
      </c:barChart>
      <c:catAx>
        <c:axId val="22773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70319"/>
        <c:crosses val="autoZero"/>
        <c:auto val="1"/>
        <c:lblAlgn val="ctr"/>
        <c:lblOffset val="100"/>
        <c:noMultiLvlLbl val="0"/>
      </c:catAx>
      <c:valAx>
        <c:axId val="2091670319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2277305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Energy Delay Product (EDP) (nJ.ns)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Sheet1!$C$24:$I$24</c:f>
              <c:strCache>
                <c:ptCount val="7"/>
                <c:pt idx="0">
                  <c:v>2.01</c:v>
                </c:pt>
                <c:pt idx="1">
                  <c:v>2.91</c:v>
                </c:pt>
                <c:pt idx="2">
                  <c:v>0.90</c:v>
                </c:pt>
                <c:pt idx="3">
                  <c:v>3.84</c:v>
                </c:pt>
                <c:pt idx="4">
                  <c:v>1.98</c:v>
                </c:pt>
                <c:pt idx="5">
                  <c:v>2.04</c:v>
                </c:pt>
                <c:pt idx="6">
                  <c:v>2.19</c:v>
                </c:pt>
              </c:strCache>
            </c:strRef>
          </c:tx>
          <c:invertIfNegative val="0"/>
          <c:cat>
            <c:strRef>
              <c:f>Sheet1!$J$9:$Q$9</c:f>
              <c:strCache>
                <c:ptCount val="8"/>
                <c:pt idx="2">
                  <c:v>Radix2</c:v>
                </c:pt>
                <c:pt idx="3">
                  <c:v>Radix4</c:v>
                </c:pt>
                <c:pt idx="4">
                  <c:v>Radix8</c:v>
                </c:pt>
                <c:pt idx="5">
                  <c:v>Radix2</c:v>
                </c:pt>
                <c:pt idx="6">
                  <c:v>Radix4</c:v>
                </c:pt>
                <c:pt idx="7">
                  <c:v>Radix8</c:v>
                </c:pt>
              </c:strCache>
            </c:strRef>
          </c:cat>
          <c:val>
            <c:numRef>
              <c:f>Sheet1!$J$24:$Q$24</c:f>
              <c:numCache>
                <c:formatCode>0.00</c:formatCode>
                <c:ptCount val="8"/>
                <c:pt idx="0">
                  <c:v>4.4640000000000004</c:v>
                </c:pt>
                <c:pt idx="1">
                  <c:v>1.982</c:v>
                </c:pt>
                <c:pt idx="2">
                  <c:v>2.6770999999999998</c:v>
                </c:pt>
                <c:pt idx="3">
                  <c:v>2.67</c:v>
                </c:pt>
                <c:pt idx="4">
                  <c:v>4.0789999999999997</c:v>
                </c:pt>
                <c:pt idx="5">
                  <c:v>4.9980000000000002</c:v>
                </c:pt>
                <c:pt idx="6">
                  <c:v>3.621</c:v>
                </c:pt>
                <c:pt idx="7">
                  <c:v>5.0910000000000002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F-4EFA-ABBA-78C70426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26336"/>
        <c:axId val="2091685679"/>
      </c:barChart>
      <c:catAx>
        <c:axId val="22772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685679"/>
        <c:crosses val="autoZero"/>
        <c:auto val="1"/>
        <c:lblAlgn val="ctr"/>
        <c:lblOffset val="100"/>
        <c:noMultiLvlLbl val="0"/>
      </c:catAx>
      <c:valAx>
        <c:axId val="2091685679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2772633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Maximum Frequency (Fmax) (MHz)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Sheet1!$C$14:$P$14</c:f>
              <c:strCache>
                <c:ptCount val="14"/>
                <c:pt idx="0">
                  <c:v>96.06</c:v>
                </c:pt>
                <c:pt idx="1">
                  <c:v>79.01</c:v>
                </c:pt>
                <c:pt idx="2">
                  <c:v>219.83</c:v>
                </c:pt>
                <c:pt idx="3">
                  <c:v>92.43</c:v>
                </c:pt>
                <c:pt idx="4">
                  <c:v>114.2</c:v>
                </c:pt>
                <c:pt idx="5">
                  <c:v>113.9</c:v>
                </c:pt>
                <c:pt idx="6">
                  <c:v>93.41</c:v>
                </c:pt>
                <c:pt idx="7">
                  <c:v>81.67</c:v>
                </c:pt>
                <c:pt idx="8">
                  <c:v>114.3</c:v>
                </c:pt>
                <c:pt idx="9">
                  <c:v>100.93</c:v>
                </c:pt>
                <c:pt idx="10">
                  <c:v>94.57</c:v>
                </c:pt>
                <c:pt idx="11">
                  <c:v>93.46</c:v>
                </c:pt>
                <c:pt idx="12">
                  <c:v>69.9</c:v>
                </c:pt>
                <c:pt idx="13">
                  <c:v>79.14</c:v>
                </c:pt>
              </c:strCache>
            </c:strRef>
          </c:tx>
          <c:invertIfNegative val="0"/>
          <c:val>
            <c:numRef>
              <c:f>Sheet1!$Q$14</c:f>
              <c:numCache>
                <c:formatCode>General</c:formatCode>
                <c:ptCount val="1"/>
                <c:pt idx="0">
                  <c:v>78.45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109-A168-0B863C61C048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1-4109-A168-0B863C61C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10320"/>
        <c:axId val="231810896"/>
      </c:barChart>
      <c:catAx>
        <c:axId val="2278103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10896"/>
        <c:crosses val="autoZero"/>
        <c:auto val="1"/>
        <c:lblAlgn val="ctr"/>
        <c:lblOffset val="100"/>
        <c:noMultiLvlLbl val="0"/>
      </c:catAx>
      <c:valAx>
        <c:axId val="23181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8103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Critical Path Delay (ns)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Sheet1!$C$15:$P$15</c:f>
              <c:strCache>
                <c:ptCount val="14"/>
                <c:pt idx="0">
                  <c:v>10.41</c:v>
                </c:pt>
                <c:pt idx="1">
                  <c:v>12.66</c:v>
                </c:pt>
                <c:pt idx="2">
                  <c:v>4.55</c:v>
                </c:pt>
                <c:pt idx="3">
                  <c:v>10.82</c:v>
                </c:pt>
                <c:pt idx="4">
                  <c:v>8.76</c:v>
                </c:pt>
                <c:pt idx="5">
                  <c:v>8.78</c:v>
                </c:pt>
                <c:pt idx="6">
                  <c:v>10.71</c:v>
                </c:pt>
                <c:pt idx="7">
                  <c:v>12.24</c:v>
                </c:pt>
                <c:pt idx="8">
                  <c:v>8.75</c:v>
                </c:pt>
                <c:pt idx="9">
                  <c:v>9.91</c:v>
                </c:pt>
                <c:pt idx="10">
                  <c:v>10.57</c:v>
                </c:pt>
                <c:pt idx="11">
                  <c:v>10.7</c:v>
                </c:pt>
                <c:pt idx="12">
                  <c:v>14.31</c:v>
                </c:pt>
                <c:pt idx="13">
                  <c:v>12.64</c:v>
                </c:pt>
              </c:strCache>
            </c:strRef>
          </c:tx>
          <c:invertIfNegative val="0"/>
          <c:val>
            <c:numRef>
              <c:f>Sheet1!$Q$15</c:f>
              <c:numCache>
                <c:formatCode>General</c:formatCode>
                <c:ptCount val="1"/>
                <c:pt idx="0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0-4F60-B52C-FB1D4582AD73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0-4F60-B52C-FB1D4582A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04752"/>
        <c:axId val="231815696"/>
      </c:barChart>
      <c:catAx>
        <c:axId val="2278047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15696"/>
        <c:crosses val="autoZero"/>
        <c:auto val="1"/>
        <c:lblAlgn val="ctr"/>
        <c:lblOffset val="100"/>
        <c:noMultiLvlLbl val="0"/>
      </c:catAx>
      <c:valAx>
        <c:axId val="23181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8047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Static Thermal Power (mW)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Sheet1!$C$16:$P$16</c:f>
              <c:strCache>
                <c:ptCount val="14"/>
                <c:pt idx="0">
                  <c:v>80.2</c:v>
                </c:pt>
                <c:pt idx="1">
                  <c:v>80.18</c:v>
                </c:pt>
                <c:pt idx="2">
                  <c:v>80.28</c:v>
                </c:pt>
                <c:pt idx="3">
                  <c:v>80.23</c:v>
                </c:pt>
                <c:pt idx="4">
                  <c:v>80.22</c:v>
                </c:pt>
                <c:pt idx="5">
                  <c:v>80.22</c:v>
                </c:pt>
                <c:pt idx="6">
                  <c:v>80.18</c:v>
                </c:pt>
                <c:pt idx="7">
                  <c:v>80.22</c:v>
                </c:pt>
                <c:pt idx="8">
                  <c:v>80.21</c:v>
                </c:pt>
                <c:pt idx="9">
                  <c:v>80.22</c:v>
                </c:pt>
                <c:pt idx="10">
                  <c:v>80.21</c:v>
                </c:pt>
                <c:pt idx="11">
                  <c:v>80.26</c:v>
                </c:pt>
                <c:pt idx="12">
                  <c:v>80.21</c:v>
                </c:pt>
                <c:pt idx="13">
                  <c:v>80.21</c:v>
                </c:pt>
              </c:strCache>
            </c:strRef>
          </c:tx>
          <c:invertIfNegative val="0"/>
          <c:val>
            <c:numRef>
              <c:f>Sheet1!$Q$16</c:f>
              <c:numCache>
                <c:formatCode>General</c:formatCode>
                <c:ptCount val="1"/>
                <c:pt idx="0">
                  <c:v>80.23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8-45F4-9462-72E3775387CB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8-45F4-9462-72E377538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798256"/>
        <c:axId val="231807056"/>
      </c:barChart>
      <c:catAx>
        <c:axId val="2277982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07056"/>
        <c:crosses val="autoZero"/>
        <c:auto val="1"/>
        <c:lblAlgn val="ctr"/>
        <c:lblOffset val="100"/>
        <c:noMultiLvlLbl val="0"/>
      </c:catAx>
      <c:valAx>
        <c:axId val="231807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7982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Dynamic Thermal Power (mW)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Sheet1!$C$17:$P$17</c:f>
              <c:strCache>
                <c:ptCount val="14"/>
                <c:pt idx="0">
                  <c:v>18.53</c:v>
                </c:pt>
                <c:pt idx="1">
                  <c:v>18.18</c:v>
                </c:pt>
                <c:pt idx="2">
                  <c:v>43.57</c:v>
                </c:pt>
                <c:pt idx="3">
                  <c:v>32.79</c:v>
                </c:pt>
                <c:pt idx="4">
                  <c:v>25.81</c:v>
                </c:pt>
                <c:pt idx="5">
                  <c:v>26.46</c:v>
                </c:pt>
                <c:pt idx="6">
                  <c:v>19.05</c:v>
                </c:pt>
                <c:pt idx="7">
                  <c:v>29.8</c:v>
                </c:pt>
                <c:pt idx="8">
                  <c:v>25.89</c:v>
                </c:pt>
                <c:pt idx="9">
                  <c:v>27.26</c:v>
                </c:pt>
                <c:pt idx="10">
                  <c:v>23.9</c:v>
                </c:pt>
                <c:pt idx="11">
                  <c:v>35.63</c:v>
                </c:pt>
                <c:pt idx="12">
                  <c:v>24.41</c:v>
                </c:pt>
                <c:pt idx="13">
                  <c:v>22.67</c:v>
                </c:pt>
              </c:strCache>
            </c:strRef>
          </c:tx>
          <c:invertIfNegative val="0"/>
          <c:val>
            <c:numRef>
              <c:f>Sheet1!$Q$17</c:f>
              <c:numCache>
                <c:formatCode>General</c:formatCode>
                <c:ptCount val="1"/>
                <c:pt idx="0">
                  <c:v>31.32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5-4981-BA39-EC67B486E5CD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5-4981-BA39-EC67B486E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26096"/>
        <c:axId val="231813776"/>
      </c:barChart>
      <c:catAx>
        <c:axId val="2278260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13776"/>
        <c:crosses val="autoZero"/>
        <c:auto val="1"/>
        <c:lblAlgn val="ctr"/>
        <c:lblOffset val="100"/>
        <c:noMultiLvlLbl val="0"/>
      </c:catAx>
      <c:valAx>
        <c:axId val="23181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8260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I/O Thermal Power (mW)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Sheet1!$C$18:$P$18</c:f>
              <c:strCache>
                <c:ptCount val="14"/>
                <c:pt idx="0">
                  <c:v>92.83</c:v>
                </c:pt>
                <c:pt idx="1">
                  <c:v>89.06</c:v>
                </c:pt>
                <c:pt idx="2">
                  <c:v>91.7</c:v>
                </c:pt>
                <c:pt idx="3">
                  <c:v>90.14</c:v>
                </c:pt>
                <c:pt idx="4">
                  <c:v>91.89</c:v>
                </c:pt>
                <c:pt idx="5">
                  <c:v>92.8</c:v>
                </c:pt>
                <c:pt idx="6">
                  <c:v>89.09</c:v>
                </c:pt>
                <c:pt idx="7">
                  <c:v>88.35</c:v>
                </c:pt>
                <c:pt idx="8">
                  <c:v>88.79</c:v>
                </c:pt>
                <c:pt idx="9">
                  <c:v>92.87</c:v>
                </c:pt>
                <c:pt idx="10">
                  <c:v>91.12</c:v>
                </c:pt>
                <c:pt idx="11">
                  <c:v>94.08</c:v>
                </c:pt>
                <c:pt idx="12">
                  <c:v>92.64</c:v>
                </c:pt>
                <c:pt idx="13">
                  <c:v>92.91</c:v>
                </c:pt>
              </c:strCache>
            </c:strRef>
          </c:tx>
          <c:invertIfNegative val="0"/>
          <c:val>
            <c:numRef>
              <c:f>Sheet1!$Q$18</c:f>
              <c:numCache>
                <c:formatCode>General</c:formatCode>
                <c:ptCount val="1"/>
                <c:pt idx="0">
                  <c:v>89.75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1-43E4-9EB7-2D7004C06DD7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1-43E4-9EB7-2D7004C06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13568"/>
        <c:axId val="231819536"/>
      </c:barChart>
      <c:catAx>
        <c:axId val="2278135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19536"/>
        <c:crosses val="autoZero"/>
        <c:auto val="1"/>
        <c:lblAlgn val="ctr"/>
        <c:lblOffset val="100"/>
        <c:noMultiLvlLbl val="0"/>
      </c:catAx>
      <c:valAx>
        <c:axId val="231819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813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Thermal Power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Sheet1!$C$19:$P$19</c:f>
              <c:strCache>
                <c:ptCount val="14"/>
                <c:pt idx="0">
                  <c:v>191.55</c:v>
                </c:pt>
                <c:pt idx="1">
                  <c:v>187.42</c:v>
                </c:pt>
                <c:pt idx="2">
                  <c:v>215.55</c:v>
                </c:pt>
                <c:pt idx="3">
                  <c:v>203.17</c:v>
                </c:pt>
                <c:pt idx="4">
                  <c:v>197.91</c:v>
                </c:pt>
                <c:pt idx="5">
                  <c:v>199.49</c:v>
                </c:pt>
                <c:pt idx="6">
                  <c:v>188.33</c:v>
                </c:pt>
                <c:pt idx="7">
                  <c:v>198.37</c:v>
                </c:pt>
                <c:pt idx="8">
                  <c:v>194.9</c:v>
                </c:pt>
                <c:pt idx="9">
                  <c:v>200.36</c:v>
                </c:pt>
                <c:pt idx="10">
                  <c:v>195.22</c:v>
                </c:pt>
                <c:pt idx="11">
                  <c:v>209.96</c:v>
                </c:pt>
                <c:pt idx="12">
                  <c:v>197.25</c:v>
                </c:pt>
                <c:pt idx="13">
                  <c:v>195.79</c:v>
                </c:pt>
              </c:strCache>
            </c:strRef>
          </c:tx>
          <c:invertIfNegative val="0"/>
          <c:val>
            <c:numRef>
              <c:f>Sheet1!$Q$19</c:f>
              <c:numCache>
                <c:formatCode>General</c:formatCode>
                <c:ptCount val="1"/>
                <c:pt idx="0">
                  <c:v>201.3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9-47F4-9825-B694735F58D3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9-47F4-9825-B694735F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25168"/>
        <c:axId val="231828176"/>
      </c:barChart>
      <c:catAx>
        <c:axId val="2278251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28176"/>
        <c:crosses val="autoZero"/>
        <c:auto val="1"/>
        <c:lblAlgn val="ctr"/>
        <c:lblOffset val="100"/>
        <c:noMultiLvlLbl val="0"/>
      </c:catAx>
      <c:valAx>
        <c:axId val="23182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8251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Resource Utilization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Sheet1!$C$20:$P$20</c:f>
              <c:strCache>
                <c:ptCount val="14"/>
                <c:pt idx="0">
                  <c:v>2%</c:v>
                </c:pt>
                <c:pt idx="1">
                  <c:v>2%</c:v>
                </c:pt>
                <c:pt idx="2">
                  <c:v>8%</c:v>
                </c:pt>
                <c:pt idx="3">
                  <c:v>4%</c:v>
                </c:pt>
                <c:pt idx="4">
                  <c:v>4%</c:v>
                </c:pt>
                <c:pt idx="5">
                  <c:v>4%</c:v>
                </c:pt>
                <c:pt idx="6">
                  <c:v>2%</c:v>
                </c:pt>
                <c:pt idx="7">
                  <c:v>3%</c:v>
                </c:pt>
                <c:pt idx="8">
                  <c:v>4%</c:v>
                </c:pt>
                <c:pt idx="9">
                  <c:v>3%</c:v>
                </c:pt>
                <c:pt idx="10">
                  <c:v>2%</c:v>
                </c:pt>
                <c:pt idx="11">
                  <c:v>2%</c:v>
                </c:pt>
                <c:pt idx="12">
                  <c:v>3%</c:v>
                </c:pt>
                <c:pt idx="13">
                  <c:v>2%</c:v>
                </c:pt>
              </c:strCache>
            </c:strRef>
          </c:tx>
          <c:invertIfNegative val="0"/>
          <c:val>
            <c:numRef>
              <c:f>Sheet1!$Q$20</c:f>
              <c:numCache>
                <c:formatCode>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49F3-9E7D-67D0B01962AE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49F3-9E7D-67D0B0196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29344"/>
        <c:axId val="231832976"/>
      </c:barChart>
      <c:catAx>
        <c:axId val="2278293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32976"/>
        <c:crosses val="autoZero"/>
        <c:auto val="1"/>
        <c:lblAlgn val="ctr"/>
        <c:lblOffset val="100"/>
        <c:noMultiLvlLbl val="0"/>
      </c:catAx>
      <c:valAx>
        <c:axId val="2318329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278293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Signed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cat>
            <c:strRef>
              <c:f>Sheet1!$Q$21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3-4188-AFD9-A1EFC5F34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31664"/>
        <c:axId val="231832496"/>
      </c:barChart>
      <c:catAx>
        <c:axId val="22783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32496"/>
        <c:crosses val="autoZero"/>
        <c:auto val="1"/>
        <c:lblAlgn val="ctr"/>
        <c:lblOffset val="100"/>
        <c:noMultiLvlLbl val="0"/>
      </c:catAx>
      <c:valAx>
        <c:axId val="23183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8316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Area Delay Product (ADP) (LE.ns)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Sheet1!$C$22:$P$22</c:f>
              <c:strCache>
                <c:ptCount val="14"/>
                <c:pt idx="0">
                  <c:v>7974.06</c:v>
                </c:pt>
                <c:pt idx="1">
                  <c:v>9621.60</c:v>
                </c:pt>
                <c:pt idx="2">
                  <c:v>11434.15</c:v>
                </c:pt>
                <c:pt idx="3">
                  <c:v>14736.84</c:v>
                </c:pt>
                <c:pt idx="4">
                  <c:v>11992.44</c:v>
                </c:pt>
                <c:pt idx="5">
                  <c:v>12011.04</c:v>
                </c:pt>
                <c:pt idx="6">
                  <c:v>8482.32</c:v>
                </c:pt>
                <c:pt idx="7">
                  <c:v>10661.04</c:v>
                </c:pt>
                <c:pt idx="8">
                  <c:v>11970.00</c:v>
                </c:pt>
                <c:pt idx="9">
                  <c:v>9028.01</c:v>
                </c:pt>
                <c:pt idx="10">
                  <c:v>6595.68</c:v>
                </c:pt>
                <c:pt idx="11">
                  <c:v>8474.40</c:v>
                </c:pt>
                <c:pt idx="12">
                  <c:v>12850.38</c:v>
                </c:pt>
                <c:pt idx="13">
                  <c:v>7659.84</c:v>
                </c:pt>
              </c:strCache>
            </c:strRef>
          </c:tx>
          <c:invertIfNegative val="0"/>
          <c:val>
            <c:numRef>
              <c:f>Sheet1!$Q$22</c:f>
              <c:numCache>
                <c:formatCode>0.00</c:formatCode>
                <c:ptCount val="1"/>
                <c:pt idx="0">
                  <c:v>9804.75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5-44C1-98CD-F7B131248600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5-44C1-98CD-F7B13124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40016"/>
        <c:axId val="231826256"/>
      </c:barChart>
      <c:catAx>
        <c:axId val="2278400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26256"/>
        <c:crosses val="autoZero"/>
        <c:auto val="1"/>
        <c:lblAlgn val="ctr"/>
        <c:lblOffset val="100"/>
        <c:noMultiLvlLbl val="0"/>
      </c:catAx>
      <c:valAx>
        <c:axId val="2318262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278400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Power Delay Product (PDP) (nJ)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Sheet1!$C$23:$P$23</c:f>
              <c:strCache>
                <c:ptCount val="14"/>
                <c:pt idx="0">
                  <c:v>0.193</c:v>
                </c:pt>
                <c:pt idx="1">
                  <c:v>0.230</c:v>
                </c:pt>
                <c:pt idx="2">
                  <c:v>0.198</c:v>
                </c:pt>
                <c:pt idx="3">
                  <c:v>0.355</c:v>
                </c:pt>
                <c:pt idx="4">
                  <c:v>0.226</c:v>
                </c:pt>
                <c:pt idx="5">
                  <c:v>0.232</c:v>
                </c:pt>
                <c:pt idx="6">
                  <c:v>0.204</c:v>
                </c:pt>
                <c:pt idx="7">
                  <c:v>0.365</c:v>
                </c:pt>
                <c:pt idx="8">
                  <c:v>0.227</c:v>
                </c:pt>
                <c:pt idx="9">
                  <c:v>0.270</c:v>
                </c:pt>
                <c:pt idx="10">
                  <c:v>0.253</c:v>
                </c:pt>
                <c:pt idx="11">
                  <c:v>0.381</c:v>
                </c:pt>
                <c:pt idx="12">
                  <c:v>0.349</c:v>
                </c:pt>
                <c:pt idx="13">
                  <c:v>0.287</c:v>
                </c:pt>
              </c:strCache>
            </c:strRef>
          </c:tx>
          <c:invertIfNegative val="0"/>
          <c:val>
            <c:numRef>
              <c:f>Sheet1!$Q$23</c:f>
              <c:numCache>
                <c:formatCode>0.000</c:formatCode>
                <c:ptCount val="1"/>
                <c:pt idx="0">
                  <c:v>0.39933000000000002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0-42A6-B0C1-08A991016897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0-42A6-B0C1-08A991016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51616"/>
        <c:axId val="231833456"/>
      </c:barChart>
      <c:catAx>
        <c:axId val="2278516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33456"/>
        <c:crosses val="autoZero"/>
        <c:auto val="1"/>
        <c:lblAlgn val="ctr"/>
        <c:lblOffset val="100"/>
        <c:noMultiLvlLbl val="0"/>
      </c:catAx>
      <c:valAx>
        <c:axId val="23183345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2278516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Energy Delay Product (EDP) (nJ.ns)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Sheet1!$C$24:$P$24</c:f>
              <c:strCache>
                <c:ptCount val="14"/>
                <c:pt idx="0">
                  <c:v>2.01</c:v>
                </c:pt>
                <c:pt idx="1">
                  <c:v>2.91</c:v>
                </c:pt>
                <c:pt idx="2">
                  <c:v>0.90</c:v>
                </c:pt>
                <c:pt idx="3">
                  <c:v>3.84</c:v>
                </c:pt>
                <c:pt idx="4">
                  <c:v>1.98</c:v>
                </c:pt>
                <c:pt idx="5">
                  <c:v>2.04</c:v>
                </c:pt>
                <c:pt idx="6">
                  <c:v>2.19</c:v>
                </c:pt>
                <c:pt idx="7">
                  <c:v>4.46</c:v>
                </c:pt>
                <c:pt idx="8">
                  <c:v>1.98</c:v>
                </c:pt>
                <c:pt idx="9">
                  <c:v>2.68</c:v>
                </c:pt>
                <c:pt idx="10">
                  <c:v>2.67</c:v>
                </c:pt>
                <c:pt idx="11">
                  <c:v>4.08</c:v>
                </c:pt>
                <c:pt idx="12">
                  <c:v>5.00</c:v>
                </c:pt>
                <c:pt idx="13">
                  <c:v>3.62</c:v>
                </c:pt>
              </c:strCache>
            </c:strRef>
          </c:tx>
          <c:invertIfNegative val="0"/>
          <c:val>
            <c:numRef>
              <c:f>Sheet1!$Q$24</c:f>
              <c:numCache>
                <c:formatCode>0.00</c:formatCode>
                <c:ptCount val="1"/>
                <c:pt idx="0">
                  <c:v>5.0910000000000002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E-4851-B8BC-5448E62E53CA}"/>
            </c:ext>
          </c:extLst>
        </c:ser>
        <c:ser>
          <c:idx val="1"/>
          <c:order val="1"/>
          <c:tx>
            <c:strRef>
              <c:f>Sheet1!$C$59:$P$59</c:f>
              <c:strCache>
                <c:ptCount val="14"/>
                <c:pt idx="0">
                  <c:v>648</c:v>
                </c:pt>
                <c:pt idx="1">
                  <c:v>630</c:v>
                </c:pt>
                <c:pt idx="2">
                  <c:v>657</c:v>
                </c:pt>
                <c:pt idx="3">
                  <c:v>806</c:v>
                </c:pt>
                <c:pt idx="4">
                  <c:v>696</c:v>
                </c:pt>
                <c:pt idx="5">
                  <c:v>863</c:v>
                </c:pt>
                <c:pt idx="6">
                  <c:v>496</c:v>
                </c:pt>
                <c:pt idx="7">
                  <c:v>981</c:v>
                </c:pt>
                <c:pt idx="8">
                  <c:v>641</c:v>
                </c:pt>
                <c:pt idx="9">
                  <c:v>739</c:v>
                </c:pt>
                <c:pt idx="10">
                  <c:v>940</c:v>
                </c:pt>
                <c:pt idx="11">
                  <c:v>616</c:v>
                </c:pt>
                <c:pt idx="12">
                  <c:v>726</c:v>
                </c:pt>
                <c:pt idx="13">
                  <c:v>768</c:v>
                </c:pt>
              </c:strCache>
            </c:strRef>
          </c:tx>
          <c:invertIfNegative val="0"/>
          <c:val>
            <c:numRef>
              <c:f>Sheet1!$Q$59</c:f>
              <c:numCache>
                <c:formatCode>General</c:formatCode>
                <c:ptCount val="1"/>
                <c:pt idx="0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E-4851-B8BC-5448E62E5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45120"/>
        <c:axId val="231830096"/>
      </c:barChart>
      <c:catAx>
        <c:axId val="2278451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31830096"/>
        <c:crosses val="autoZero"/>
        <c:auto val="1"/>
        <c:lblAlgn val="ctr"/>
        <c:lblOffset val="100"/>
        <c:noMultiLvlLbl val="0"/>
      </c:catAx>
      <c:valAx>
        <c:axId val="231830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278451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157</xdr:row>
      <xdr:rowOff>88900</xdr:rowOff>
    </xdr:from>
    <xdr:to>
      <xdr:col>4</xdr:col>
      <xdr:colOff>546100</xdr:colOff>
      <xdr:row>174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AAA5095-9C4D-A7AC-27F5-5CFD33B51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176</xdr:row>
      <xdr:rowOff>19050</xdr:rowOff>
    </xdr:from>
    <xdr:to>
      <xdr:col>4</xdr:col>
      <xdr:colOff>546100</xdr:colOff>
      <xdr:row>193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84D0B6-3A0C-5DAA-3E6F-E2C941BE6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194</xdr:row>
      <xdr:rowOff>133350</xdr:rowOff>
    </xdr:from>
    <xdr:to>
      <xdr:col>4</xdr:col>
      <xdr:colOff>546100</xdr:colOff>
      <xdr:row>211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81D0F8-F1F5-0A83-02AE-064E8397F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213</xdr:row>
      <xdr:rowOff>63500</xdr:rowOff>
    </xdr:from>
    <xdr:to>
      <xdr:col>4</xdr:col>
      <xdr:colOff>546100</xdr:colOff>
      <xdr:row>230</xdr:row>
      <xdr:rowOff>107950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A1CEB1-33DF-A8FC-8CB0-170783C94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231</xdr:row>
      <xdr:rowOff>177800</xdr:rowOff>
    </xdr:from>
    <xdr:to>
      <xdr:col>4</xdr:col>
      <xdr:colOff>546100</xdr:colOff>
      <xdr:row>249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46A2E7A-DCD9-8DDD-4313-CB302873B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250</xdr:row>
      <xdr:rowOff>107950</xdr:rowOff>
    </xdr:from>
    <xdr:to>
      <xdr:col>4</xdr:col>
      <xdr:colOff>546100</xdr:colOff>
      <xdr:row>267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3992B82-8886-5C69-77FE-7732AA5C8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269</xdr:row>
      <xdr:rowOff>38100</xdr:rowOff>
    </xdr:from>
    <xdr:to>
      <xdr:col>4</xdr:col>
      <xdr:colOff>546100</xdr:colOff>
      <xdr:row>286</xdr:row>
      <xdr:rowOff>82550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8A2E53A-9445-0228-0484-F56F307EE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287</xdr:row>
      <xdr:rowOff>152400</xdr:rowOff>
    </xdr:from>
    <xdr:to>
      <xdr:col>4</xdr:col>
      <xdr:colOff>546100</xdr:colOff>
      <xdr:row>305</xdr:row>
      <xdr:rowOff>12700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41910D-09B5-9535-6708-D571281CC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306</xdr:row>
      <xdr:rowOff>82550</xdr:rowOff>
    </xdr:from>
    <xdr:to>
      <xdr:col>4</xdr:col>
      <xdr:colOff>546100</xdr:colOff>
      <xdr:row>323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91D839-02F4-5FB4-4C09-95EAFC3A0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325</xdr:row>
      <xdr:rowOff>12700</xdr:rowOff>
    </xdr:from>
    <xdr:to>
      <xdr:col>4</xdr:col>
      <xdr:colOff>546100</xdr:colOff>
      <xdr:row>342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13A22DE-63F1-E562-A99C-FD4A3B6E7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343</xdr:row>
      <xdr:rowOff>127000</xdr:rowOff>
    </xdr:from>
    <xdr:to>
      <xdr:col>4</xdr:col>
      <xdr:colOff>546100</xdr:colOff>
      <xdr:row>360</xdr:row>
      <xdr:rowOff>171450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A38862A-CFDC-DCD7-0A21-3C11A69D5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160</xdr:row>
      <xdr:rowOff>44450</xdr:rowOff>
    </xdr:from>
    <xdr:to>
      <xdr:col>4</xdr:col>
      <xdr:colOff>546100</xdr:colOff>
      <xdr:row>177</xdr:row>
      <xdr:rowOff>88900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7EA26FE-EA40-D66B-A6A7-829BB86A7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179</xdr:row>
      <xdr:rowOff>101600</xdr:rowOff>
    </xdr:from>
    <xdr:to>
      <xdr:col>4</xdr:col>
      <xdr:colOff>546100</xdr:colOff>
      <xdr:row>196</xdr:row>
      <xdr:rowOff>146050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4D921AF-E3D7-F7C5-F215-EC1829F0F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198</xdr:row>
      <xdr:rowOff>158750</xdr:rowOff>
    </xdr:from>
    <xdr:to>
      <xdr:col>4</xdr:col>
      <xdr:colOff>546100</xdr:colOff>
      <xdr:row>216</xdr:row>
      <xdr:rowOff>19050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EF27197-0D28-A505-0D27-F0ACD9F93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218</xdr:row>
      <xdr:rowOff>31750</xdr:rowOff>
    </xdr:from>
    <xdr:to>
      <xdr:col>4</xdr:col>
      <xdr:colOff>546100</xdr:colOff>
      <xdr:row>235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F7964B8-875F-68E8-3F1C-2B7C343AD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237</xdr:row>
      <xdr:rowOff>88900</xdr:rowOff>
    </xdr:from>
    <xdr:to>
      <xdr:col>4</xdr:col>
      <xdr:colOff>546100</xdr:colOff>
      <xdr:row>254</xdr:row>
      <xdr:rowOff>133350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09A9C6E-D031-600A-7DC3-9376FCD58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256</xdr:row>
      <xdr:rowOff>146050</xdr:rowOff>
    </xdr:from>
    <xdr:to>
      <xdr:col>4</xdr:col>
      <xdr:colOff>546100</xdr:colOff>
      <xdr:row>274</xdr:row>
      <xdr:rowOff>6350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2E2AAAD-9584-C77B-AA60-87583831C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276</xdr:row>
      <xdr:rowOff>19050</xdr:rowOff>
    </xdr:from>
    <xdr:to>
      <xdr:col>4</xdr:col>
      <xdr:colOff>546100</xdr:colOff>
      <xdr:row>293</xdr:row>
      <xdr:rowOff>63500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9BE4496-CFFA-D74D-C19D-7625543AE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295</xdr:row>
      <xdr:rowOff>76200</xdr:rowOff>
    </xdr:from>
    <xdr:to>
      <xdr:col>4</xdr:col>
      <xdr:colOff>546100</xdr:colOff>
      <xdr:row>312</xdr:row>
      <xdr:rowOff>120650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A4F157B-18C3-EF67-34EA-7EAEA781B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314</xdr:row>
      <xdr:rowOff>133350</xdr:rowOff>
    </xdr:from>
    <xdr:to>
      <xdr:col>4</xdr:col>
      <xdr:colOff>546100</xdr:colOff>
      <xdr:row>331</xdr:row>
      <xdr:rowOff>177800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1F462C1-E1C0-AE1C-9864-B55F56179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334</xdr:row>
      <xdr:rowOff>6350</xdr:rowOff>
    </xdr:from>
    <xdr:to>
      <xdr:col>4</xdr:col>
      <xdr:colOff>546100</xdr:colOff>
      <xdr:row>351</xdr:row>
      <xdr:rowOff>50800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D2E59B5-7D43-5547-7842-28A2839E0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353</xdr:row>
      <xdr:rowOff>63500</xdr:rowOff>
    </xdr:from>
    <xdr:to>
      <xdr:col>4</xdr:col>
      <xdr:colOff>546100</xdr:colOff>
      <xdr:row>370</xdr:row>
      <xdr:rowOff>107950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91A581C-2A8B-4572-33AB-4E0774A1A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E31E-A542-4DE8-A80B-C5A99937113C}">
  <sheetPr codeName="Sheet1"/>
  <dimension ref="A1:W73"/>
  <sheetViews>
    <sheetView tabSelected="1" zoomScale="46" zoomScaleNormal="45" workbookViewId="0">
      <selection activeCell="N52" sqref="N52"/>
    </sheetView>
  </sheetViews>
  <sheetFormatPr defaultRowHeight="14.5" x14ac:dyDescent="0.35"/>
  <cols>
    <col min="1" max="1" width="30.453125" customWidth="1"/>
    <col min="2" max="2" width="43.453125" customWidth="1"/>
    <col min="3" max="3" width="9.54296875" customWidth="1"/>
    <col min="4" max="4" width="9.81640625" customWidth="1"/>
    <col min="5" max="5" width="13.90625" customWidth="1"/>
    <col min="6" max="6" width="10.26953125" customWidth="1"/>
    <col min="7" max="7" width="14.1796875" customWidth="1"/>
    <col min="8" max="8" width="20.26953125" customWidth="1"/>
    <col min="9" max="9" width="19.453125" customWidth="1"/>
    <col min="10" max="10" width="10" customWidth="1"/>
    <col min="11" max="11" width="15.6328125" customWidth="1"/>
    <col min="12" max="12" width="13.7265625" customWidth="1"/>
    <col min="13" max="13" width="8.7265625" customWidth="1"/>
    <col min="14" max="14" width="16.26953125" customWidth="1"/>
    <col min="15" max="15" width="16.1796875" customWidth="1"/>
    <col min="16" max="16" width="18.81640625" customWidth="1"/>
    <col min="17" max="17" width="21.6328125" bestFit="1" customWidth="1"/>
    <col min="18" max="18" width="8.7265625" customWidth="1"/>
    <col min="19" max="19" width="18.08984375" customWidth="1"/>
    <col min="20" max="20" width="16.453125" customWidth="1"/>
    <col min="21" max="21" width="19.54296875" bestFit="1" customWidth="1"/>
    <col min="22" max="22" width="15.7265625" bestFit="1" customWidth="1"/>
  </cols>
  <sheetData>
    <row r="1" spans="1:20" s="13" customFormat="1" ht="26" x14ac:dyDescent="0.6">
      <c r="A1" s="13" t="s">
        <v>22</v>
      </c>
    </row>
    <row r="2" spans="1:20" x14ac:dyDescent="0.35">
      <c r="A2" t="s">
        <v>23</v>
      </c>
    </row>
    <row r="3" spans="1:20" x14ac:dyDescent="0.35">
      <c r="A3" t="s">
        <v>24</v>
      </c>
    </row>
    <row r="5" spans="1:20" x14ac:dyDescent="0.35">
      <c r="A5" s="12" t="s">
        <v>55</v>
      </c>
      <c r="B5" s="12"/>
    </row>
    <row r="6" spans="1:20" x14ac:dyDescent="0.35">
      <c r="A6" s="12" t="s">
        <v>51</v>
      </c>
      <c r="B6" s="12"/>
    </row>
    <row r="8" spans="1:20" s="1" customFormat="1" x14ac:dyDescent="0.35">
      <c r="A8" s="1" t="s">
        <v>8</v>
      </c>
      <c r="B8" s="1" t="s">
        <v>9</v>
      </c>
      <c r="C8" s="1" t="s">
        <v>21</v>
      </c>
      <c r="D8" s="1" t="s">
        <v>29</v>
      </c>
      <c r="E8" s="1" t="s">
        <v>32</v>
      </c>
      <c r="F8" s="1" t="s">
        <v>31</v>
      </c>
      <c r="G8" s="1" t="s">
        <v>52</v>
      </c>
      <c r="H8" s="1" t="s">
        <v>54</v>
      </c>
      <c r="I8" s="1" t="s">
        <v>53</v>
      </c>
      <c r="J8" s="1" t="s">
        <v>33</v>
      </c>
      <c r="K8" s="1" t="s">
        <v>34</v>
      </c>
      <c r="L8" s="11" t="s">
        <v>38</v>
      </c>
      <c r="M8" s="11"/>
      <c r="N8" s="11"/>
      <c r="O8" s="11" t="s">
        <v>39</v>
      </c>
      <c r="P8" s="11"/>
      <c r="Q8" s="11"/>
      <c r="R8" s="11" t="s">
        <v>40</v>
      </c>
      <c r="S8" s="11"/>
      <c r="T8" s="1" t="s">
        <v>59</v>
      </c>
    </row>
    <row r="9" spans="1:20" s="7" customFormat="1" x14ac:dyDescent="0.35">
      <c r="L9" s="7" t="s">
        <v>35</v>
      </c>
      <c r="M9" s="7" t="s">
        <v>36</v>
      </c>
      <c r="N9" s="7" t="s">
        <v>37</v>
      </c>
      <c r="O9" s="7" t="s">
        <v>35</v>
      </c>
      <c r="P9" s="7" t="s">
        <v>36</v>
      </c>
      <c r="Q9" s="7" t="s">
        <v>37</v>
      </c>
      <c r="R9" s="7" t="s">
        <v>21</v>
      </c>
      <c r="S9" s="7" t="s">
        <v>29</v>
      </c>
    </row>
    <row r="10" spans="1:20" x14ac:dyDescent="0.35">
      <c r="A10" t="s">
        <v>0</v>
      </c>
      <c r="B10" t="s">
        <v>10</v>
      </c>
      <c r="C10">
        <v>766</v>
      </c>
      <c r="D10">
        <v>760</v>
      </c>
      <c r="E10">
        <v>2513</v>
      </c>
      <c r="F10">
        <v>1362</v>
      </c>
      <c r="G10">
        <v>1369</v>
      </c>
      <c r="H10">
        <v>1368</v>
      </c>
      <c r="I10">
        <v>792</v>
      </c>
      <c r="J10">
        <v>871</v>
      </c>
      <c r="K10">
        <v>1368</v>
      </c>
      <c r="L10">
        <v>911</v>
      </c>
      <c r="M10">
        <v>624</v>
      </c>
      <c r="N10">
        <v>792</v>
      </c>
      <c r="O10">
        <v>898</v>
      </c>
      <c r="P10">
        <v>606</v>
      </c>
      <c r="Q10">
        <v>769</v>
      </c>
      <c r="R10">
        <v>782</v>
      </c>
      <c r="S10">
        <v>765</v>
      </c>
      <c r="T10">
        <v>850</v>
      </c>
    </row>
    <row r="11" spans="1:20" x14ac:dyDescent="0.35">
      <c r="A11" t="s">
        <v>1</v>
      </c>
      <c r="B11" t="s">
        <v>11</v>
      </c>
      <c r="C11">
        <v>765</v>
      </c>
      <c r="D11">
        <v>760</v>
      </c>
      <c r="E11">
        <v>2510</v>
      </c>
      <c r="F11">
        <v>1362</v>
      </c>
      <c r="G11">
        <v>1368</v>
      </c>
      <c r="H11">
        <v>1368</v>
      </c>
      <c r="I11">
        <v>787</v>
      </c>
      <c r="J11">
        <v>871</v>
      </c>
      <c r="K11">
        <v>1368</v>
      </c>
      <c r="L11">
        <v>911</v>
      </c>
      <c r="M11">
        <v>622</v>
      </c>
      <c r="N11">
        <v>792</v>
      </c>
      <c r="O11">
        <v>898</v>
      </c>
      <c r="P11">
        <v>606</v>
      </c>
      <c r="Q11">
        <v>767</v>
      </c>
      <c r="R11">
        <v>781</v>
      </c>
      <c r="S11">
        <v>765</v>
      </c>
      <c r="T11">
        <v>331</v>
      </c>
    </row>
    <row r="12" spans="1:20" x14ac:dyDescent="0.35">
      <c r="A12" t="s">
        <v>2</v>
      </c>
      <c r="B12" t="s">
        <v>58</v>
      </c>
      <c r="C12">
        <v>331</v>
      </c>
      <c r="D12">
        <v>446</v>
      </c>
      <c r="E12">
        <v>2168</v>
      </c>
      <c r="F12">
        <v>1023</v>
      </c>
      <c r="G12">
        <v>1121</v>
      </c>
      <c r="H12">
        <v>1121</v>
      </c>
      <c r="I12">
        <v>351</v>
      </c>
      <c r="J12">
        <v>128</v>
      </c>
      <c r="K12">
        <v>1121</v>
      </c>
      <c r="L12">
        <v>352</v>
      </c>
      <c r="M12">
        <v>212</v>
      </c>
      <c r="N12">
        <v>196</v>
      </c>
      <c r="O12">
        <v>473</v>
      </c>
      <c r="P12">
        <v>236</v>
      </c>
      <c r="Q12">
        <v>229</v>
      </c>
      <c r="R12">
        <v>333</v>
      </c>
      <c r="S12">
        <v>448</v>
      </c>
      <c r="T12">
        <v>331</v>
      </c>
    </row>
    <row r="13" spans="1:20" x14ac:dyDescent="0.35">
      <c r="A13" t="s">
        <v>3</v>
      </c>
      <c r="B13" t="s">
        <v>13</v>
      </c>
      <c r="C13">
        <v>67</v>
      </c>
      <c r="D13">
        <v>67</v>
      </c>
      <c r="E13">
        <v>67</v>
      </c>
      <c r="F13">
        <v>67</v>
      </c>
      <c r="G13">
        <v>67</v>
      </c>
      <c r="H13">
        <v>67</v>
      </c>
      <c r="I13">
        <v>67</v>
      </c>
      <c r="J13">
        <v>67</v>
      </c>
      <c r="K13">
        <v>67</v>
      </c>
      <c r="L13">
        <v>67</v>
      </c>
      <c r="M13">
        <v>67</v>
      </c>
      <c r="N13">
        <v>67</v>
      </c>
      <c r="O13">
        <v>67</v>
      </c>
      <c r="P13">
        <v>67</v>
      </c>
      <c r="Q13">
        <v>67</v>
      </c>
      <c r="R13">
        <v>67</v>
      </c>
      <c r="S13">
        <v>67</v>
      </c>
      <c r="T13">
        <v>67</v>
      </c>
    </row>
    <row r="14" spans="1:20" x14ac:dyDescent="0.35">
      <c r="A14" t="s">
        <v>25</v>
      </c>
      <c r="B14" t="s">
        <v>14</v>
      </c>
      <c r="C14">
        <v>96.06</v>
      </c>
      <c r="D14">
        <v>79.010000000000005</v>
      </c>
      <c r="E14">
        <v>219.83</v>
      </c>
      <c r="F14">
        <v>92.43</v>
      </c>
      <c r="G14">
        <v>114.2</v>
      </c>
      <c r="H14">
        <v>113.9</v>
      </c>
      <c r="I14">
        <v>93.41</v>
      </c>
      <c r="J14">
        <v>81.67</v>
      </c>
      <c r="K14">
        <v>114.3</v>
      </c>
      <c r="L14">
        <v>100.93</v>
      </c>
      <c r="M14">
        <v>94.57</v>
      </c>
      <c r="N14">
        <v>93.46</v>
      </c>
      <c r="O14">
        <v>69.900000000000006</v>
      </c>
      <c r="P14">
        <v>79.14</v>
      </c>
      <c r="Q14">
        <v>78.45</v>
      </c>
      <c r="R14">
        <v>93.3</v>
      </c>
      <c r="S14">
        <v>79.33</v>
      </c>
      <c r="T14">
        <v>182.95</v>
      </c>
    </row>
    <row r="15" spans="1:20" x14ac:dyDescent="0.35">
      <c r="A15" t="s">
        <v>4</v>
      </c>
      <c r="B15" t="s">
        <v>15</v>
      </c>
      <c r="C15">
        <v>10.41</v>
      </c>
      <c r="D15">
        <v>12.66</v>
      </c>
      <c r="E15">
        <v>4.55</v>
      </c>
      <c r="F15">
        <v>10.82</v>
      </c>
      <c r="G15">
        <v>8.76</v>
      </c>
      <c r="H15">
        <v>8.7799999999999994</v>
      </c>
      <c r="I15">
        <v>10.71</v>
      </c>
      <c r="J15">
        <v>12.24</v>
      </c>
      <c r="K15">
        <v>8.75</v>
      </c>
      <c r="L15">
        <v>9.91</v>
      </c>
      <c r="M15">
        <v>10.57</v>
      </c>
      <c r="N15">
        <v>10.7</v>
      </c>
      <c r="O15">
        <v>14.31</v>
      </c>
      <c r="P15">
        <v>12.64</v>
      </c>
      <c r="Q15">
        <v>12.75</v>
      </c>
      <c r="R15">
        <v>10.72</v>
      </c>
      <c r="S15">
        <v>12.61</v>
      </c>
      <c r="T15">
        <v>5.47</v>
      </c>
    </row>
    <row r="16" spans="1:20" x14ac:dyDescent="0.35">
      <c r="A16" t="s">
        <v>26</v>
      </c>
      <c r="B16" t="s">
        <v>16</v>
      </c>
      <c r="C16">
        <v>80.2</v>
      </c>
      <c r="D16">
        <v>80.180000000000007</v>
      </c>
      <c r="E16">
        <v>80.28</v>
      </c>
      <c r="F16">
        <v>80.23</v>
      </c>
      <c r="G16">
        <v>80.22</v>
      </c>
      <c r="H16">
        <v>80.22</v>
      </c>
      <c r="I16">
        <v>80.180000000000007</v>
      </c>
      <c r="J16">
        <v>80.22</v>
      </c>
      <c r="K16">
        <v>80.209999999999994</v>
      </c>
      <c r="L16">
        <v>80.22</v>
      </c>
      <c r="M16">
        <v>80.209999999999994</v>
      </c>
      <c r="N16">
        <v>80.260000000000005</v>
      </c>
      <c r="O16">
        <v>80.209999999999994</v>
      </c>
      <c r="P16">
        <v>80.209999999999994</v>
      </c>
      <c r="Q16">
        <v>80.23</v>
      </c>
      <c r="R16">
        <v>80.19</v>
      </c>
      <c r="S16">
        <v>80.17</v>
      </c>
      <c r="T16">
        <v>80.2</v>
      </c>
    </row>
    <row r="17" spans="1:22" x14ac:dyDescent="0.35">
      <c r="A17" t="s">
        <v>27</v>
      </c>
      <c r="B17" t="s">
        <v>17</v>
      </c>
      <c r="C17">
        <v>18.53</v>
      </c>
      <c r="D17">
        <v>18.18</v>
      </c>
      <c r="E17">
        <v>43.57</v>
      </c>
      <c r="F17">
        <v>32.79</v>
      </c>
      <c r="G17">
        <v>25.81</v>
      </c>
      <c r="H17">
        <v>26.46</v>
      </c>
      <c r="I17">
        <v>19.05</v>
      </c>
      <c r="J17">
        <v>29.8</v>
      </c>
      <c r="K17">
        <v>25.89</v>
      </c>
      <c r="L17">
        <v>27.26</v>
      </c>
      <c r="M17">
        <v>23.9</v>
      </c>
      <c r="N17">
        <v>35.630000000000003</v>
      </c>
      <c r="O17">
        <v>24.41</v>
      </c>
      <c r="P17">
        <v>22.67</v>
      </c>
      <c r="Q17">
        <v>31.32</v>
      </c>
      <c r="R17">
        <v>19</v>
      </c>
      <c r="S17">
        <v>17.45</v>
      </c>
      <c r="T17">
        <v>20.57</v>
      </c>
    </row>
    <row r="18" spans="1:22" x14ac:dyDescent="0.35">
      <c r="A18" t="s">
        <v>28</v>
      </c>
      <c r="B18" t="s">
        <v>30</v>
      </c>
      <c r="C18">
        <v>92.83</v>
      </c>
      <c r="D18">
        <v>89.06</v>
      </c>
      <c r="E18">
        <v>91.7</v>
      </c>
      <c r="F18">
        <v>90.14</v>
      </c>
      <c r="G18">
        <v>91.89</v>
      </c>
      <c r="H18">
        <v>92.8</v>
      </c>
      <c r="I18">
        <v>89.09</v>
      </c>
      <c r="J18">
        <v>88.35</v>
      </c>
      <c r="K18">
        <v>88.79</v>
      </c>
      <c r="L18">
        <v>92.87</v>
      </c>
      <c r="M18">
        <v>91.12</v>
      </c>
      <c r="N18">
        <v>94.08</v>
      </c>
      <c r="O18">
        <v>92.64</v>
      </c>
      <c r="P18">
        <v>92.91</v>
      </c>
      <c r="Q18">
        <v>89.75</v>
      </c>
      <c r="R18">
        <v>91.36</v>
      </c>
      <c r="S18">
        <v>87.62</v>
      </c>
      <c r="T18">
        <v>92.83</v>
      </c>
    </row>
    <row r="19" spans="1:22" x14ac:dyDescent="0.35">
      <c r="A19" t="s">
        <v>5</v>
      </c>
      <c r="B19" t="s">
        <v>18</v>
      </c>
      <c r="C19">
        <v>191.55</v>
      </c>
      <c r="D19">
        <v>187.42</v>
      </c>
      <c r="E19">
        <v>215.55</v>
      </c>
      <c r="F19">
        <v>203.17</v>
      </c>
      <c r="G19">
        <v>197.91</v>
      </c>
      <c r="H19">
        <v>199.49</v>
      </c>
      <c r="I19">
        <v>188.33</v>
      </c>
      <c r="J19">
        <v>198.37</v>
      </c>
      <c r="K19">
        <v>194.9</v>
      </c>
      <c r="L19">
        <v>200.36</v>
      </c>
      <c r="M19">
        <v>195.22</v>
      </c>
      <c r="N19">
        <v>209.96</v>
      </c>
      <c r="O19">
        <v>197.25</v>
      </c>
      <c r="P19">
        <v>195.79</v>
      </c>
      <c r="Q19">
        <v>201.3</v>
      </c>
      <c r="R19">
        <v>190.56</v>
      </c>
      <c r="S19">
        <v>185.24</v>
      </c>
      <c r="T19">
        <v>193.59</v>
      </c>
    </row>
    <row r="20" spans="1:22" x14ac:dyDescent="0.35">
      <c r="A20" t="s">
        <v>6</v>
      </c>
      <c r="B20" t="s">
        <v>19</v>
      </c>
      <c r="C20" s="2">
        <v>0.02</v>
      </c>
      <c r="D20" s="2">
        <v>0.02</v>
      </c>
      <c r="E20" s="2">
        <v>0.08</v>
      </c>
      <c r="F20" s="2">
        <v>0.04</v>
      </c>
      <c r="G20" s="2">
        <v>0.04</v>
      </c>
      <c r="H20" s="2">
        <v>0.04</v>
      </c>
      <c r="I20" s="2">
        <v>0.02</v>
      </c>
      <c r="J20" s="2">
        <v>0.03</v>
      </c>
      <c r="K20" s="2">
        <v>0.04</v>
      </c>
      <c r="L20" s="2">
        <v>0.03</v>
      </c>
      <c r="M20" s="2">
        <v>0.02</v>
      </c>
      <c r="N20" s="2">
        <v>0.02</v>
      </c>
      <c r="O20" s="2">
        <v>0.03</v>
      </c>
      <c r="P20" s="2">
        <v>0.02</v>
      </c>
      <c r="Q20" s="2">
        <v>0.02</v>
      </c>
      <c r="R20" s="2">
        <v>0.02</v>
      </c>
      <c r="S20" s="2">
        <v>0.02</v>
      </c>
      <c r="T20" s="2">
        <v>0.03</v>
      </c>
    </row>
    <row r="21" spans="1:22" x14ac:dyDescent="0.35">
      <c r="A21" t="s">
        <v>41</v>
      </c>
      <c r="B21" t="s">
        <v>42</v>
      </c>
      <c r="C21" s="5" t="s">
        <v>43</v>
      </c>
      <c r="D21" s="5" t="s">
        <v>43</v>
      </c>
      <c r="E21" s="5" t="s">
        <v>43</v>
      </c>
      <c r="F21" s="5" t="s">
        <v>43</v>
      </c>
      <c r="G21" s="5" t="s">
        <v>43</v>
      </c>
      <c r="H21" s="5" t="s">
        <v>43</v>
      </c>
      <c r="I21" s="6" t="s">
        <v>43</v>
      </c>
      <c r="J21" s="5" t="s">
        <v>43</v>
      </c>
      <c r="K21" s="5" t="s">
        <v>43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5" t="s">
        <v>44</v>
      </c>
      <c r="T21" s="5" t="s">
        <v>43</v>
      </c>
    </row>
    <row r="22" spans="1:22" s="3" customFormat="1" x14ac:dyDescent="0.35">
      <c r="A22" s="3" t="s">
        <v>48</v>
      </c>
      <c r="B22" s="3" t="s">
        <v>45</v>
      </c>
      <c r="C22" s="3">
        <v>7974.06</v>
      </c>
      <c r="D22" s="3">
        <v>9621.6</v>
      </c>
      <c r="E22" s="3">
        <v>11434.15</v>
      </c>
      <c r="F22" s="3">
        <v>14736.84</v>
      </c>
      <c r="G22" s="3">
        <v>11992.44</v>
      </c>
      <c r="H22" s="3">
        <v>12011.04</v>
      </c>
      <c r="I22" s="3">
        <v>8482.32</v>
      </c>
      <c r="J22" s="3">
        <v>10661.04</v>
      </c>
      <c r="K22" s="3">
        <v>11970</v>
      </c>
      <c r="L22" s="3">
        <v>9028.01</v>
      </c>
      <c r="M22" s="3">
        <v>6595.68</v>
      </c>
      <c r="N22" s="3">
        <v>8474.4</v>
      </c>
      <c r="O22" s="3">
        <v>12850.38</v>
      </c>
      <c r="P22" s="3">
        <v>7659.84</v>
      </c>
      <c r="Q22" s="3">
        <v>9804.75</v>
      </c>
      <c r="R22" s="3">
        <v>8383.0400000000009</v>
      </c>
      <c r="S22" s="3">
        <v>9646.65</v>
      </c>
      <c r="T22">
        <f t="array" ref="T22">T10:AM10*T15:AM15</f>
        <v>4649.5</v>
      </c>
    </row>
    <row r="23" spans="1:22" s="4" customFormat="1" x14ac:dyDescent="0.35">
      <c r="A23" s="4" t="s">
        <v>50</v>
      </c>
      <c r="B23" s="4" t="s">
        <v>46</v>
      </c>
      <c r="C23" s="4">
        <v>0.1928</v>
      </c>
      <c r="D23" s="4">
        <v>0.2301</v>
      </c>
      <c r="E23" s="4">
        <v>0.19824</v>
      </c>
      <c r="F23" s="4">
        <v>0.35477999999999998</v>
      </c>
      <c r="G23" s="4">
        <v>0.2261</v>
      </c>
      <c r="H23" s="4">
        <v>0.23230000000000001</v>
      </c>
      <c r="I23" s="4">
        <v>0.20399999999999999</v>
      </c>
      <c r="J23" s="4">
        <v>0.36470000000000002</v>
      </c>
      <c r="K23" s="4">
        <v>0.22650000000000001</v>
      </c>
      <c r="L23" s="4">
        <v>0.27010000000000001</v>
      </c>
      <c r="M23" s="4">
        <v>0.25259999999999999</v>
      </c>
      <c r="N23" s="4">
        <v>0.38119999999999998</v>
      </c>
      <c r="O23" s="4">
        <v>0.3493</v>
      </c>
      <c r="P23" s="4">
        <v>0.28649999999999998</v>
      </c>
      <c r="Q23" s="4">
        <v>0.39933000000000002</v>
      </c>
      <c r="R23" s="4">
        <v>0.20368</v>
      </c>
      <c r="S23" s="4">
        <v>0.22</v>
      </c>
      <c r="T23" s="4">
        <f t="array" ref="T23">T17:AM17*T15:AM15/1000</f>
        <v>0.1125179</v>
      </c>
    </row>
    <row r="24" spans="1:22" s="3" customFormat="1" x14ac:dyDescent="0.35">
      <c r="A24" s="3" t="s">
        <v>49</v>
      </c>
      <c r="B24" s="3" t="s">
        <v>47</v>
      </c>
      <c r="C24" s="3">
        <v>2.008</v>
      </c>
      <c r="D24" s="3">
        <v>2.9129999999999998</v>
      </c>
      <c r="E24" s="3">
        <v>0.90200000000000002</v>
      </c>
      <c r="F24" s="3">
        <v>3.8380000000000001</v>
      </c>
      <c r="G24" s="3">
        <v>1.98</v>
      </c>
      <c r="H24" s="3">
        <v>2.0390000000000001</v>
      </c>
      <c r="I24" s="3">
        <v>2.1850999999999998</v>
      </c>
      <c r="J24" s="3">
        <v>4.4640000000000004</v>
      </c>
      <c r="K24" s="3">
        <v>1.982</v>
      </c>
      <c r="L24" s="3">
        <v>2.6770999999999998</v>
      </c>
      <c r="M24" s="3">
        <v>2.67</v>
      </c>
      <c r="N24" s="3">
        <v>4.0789999999999997</v>
      </c>
      <c r="O24" s="3">
        <v>4.9980000000000002</v>
      </c>
      <c r="P24" s="3">
        <v>3.621</v>
      </c>
      <c r="Q24" s="3">
        <v>5.0910000000000002</v>
      </c>
      <c r="R24" s="3">
        <v>2.1829999999999998</v>
      </c>
      <c r="S24" s="3">
        <v>2.7747600000000001</v>
      </c>
      <c r="T24" s="3">
        <f t="array" ref="T24">T17:AM17*T15:AM15*T15:AM15/1000</f>
        <v>0.61547291299999995</v>
      </c>
    </row>
    <row r="25" spans="1:22" x14ac:dyDescent="0.35">
      <c r="A25" t="s">
        <v>7</v>
      </c>
      <c r="B25" t="s">
        <v>20</v>
      </c>
    </row>
    <row r="27" spans="1:22" x14ac:dyDescent="0.35">
      <c r="A27" s="11" t="s">
        <v>60</v>
      </c>
      <c r="B27" s="12"/>
    </row>
    <row r="28" spans="1:22" x14ac:dyDescent="0.35">
      <c r="A28" s="12" t="s">
        <v>51</v>
      </c>
      <c r="B28" s="12"/>
    </row>
    <row r="29" spans="1:22" x14ac:dyDescent="0.35">
      <c r="A29" s="12" t="s">
        <v>86</v>
      </c>
      <c r="B29" s="12"/>
    </row>
    <row r="31" spans="1:22" x14ac:dyDescent="0.35">
      <c r="A31" s="1" t="s">
        <v>8</v>
      </c>
      <c r="B31" s="1" t="s">
        <v>9</v>
      </c>
    </row>
    <row r="32" spans="1:22" s="7" customFormat="1" x14ac:dyDescent="0.35">
      <c r="C32" s="7" t="s">
        <v>61</v>
      </c>
      <c r="D32" s="7" t="s">
        <v>70</v>
      </c>
      <c r="E32" s="7" t="s">
        <v>62</v>
      </c>
      <c r="F32" s="7" t="s">
        <v>63</v>
      </c>
      <c r="G32" s="7" t="s">
        <v>64</v>
      </c>
      <c r="H32" s="7" t="s">
        <v>65</v>
      </c>
      <c r="I32" s="7" t="s">
        <v>67</v>
      </c>
      <c r="J32" s="7" t="s">
        <v>66</v>
      </c>
      <c r="K32" s="7" t="s">
        <v>68</v>
      </c>
      <c r="L32" s="7" t="s">
        <v>69</v>
      </c>
      <c r="M32" s="7" t="s">
        <v>71</v>
      </c>
      <c r="N32" s="7" t="s">
        <v>72</v>
      </c>
      <c r="O32" s="7" t="s">
        <v>73</v>
      </c>
      <c r="P32" s="7" t="s">
        <v>74</v>
      </c>
      <c r="Q32" s="7" t="s">
        <v>75</v>
      </c>
      <c r="R32" s="7" t="s">
        <v>81</v>
      </c>
      <c r="S32" s="7" t="s">
        <v>82</v>
      </c>
      <c r="T32" s="7" t="s">
        <v>83</v>
      </c>
      <c r="U32" s="7" t="s">
        <v>84</v>
      </c>
      <c r="V32" s="7" t="s">
        <v>85</v>
      </c>
    </row>
    <row r="33" spans="1:22" s="8" customFormat="1" x14ac:dyDescent="0.35">
      <c r="A33" s="8" t="s">
        <v>0</v>
      </c>
      <c r="B33" s="8" t="s">
        <v>10</v>
      </c>
      <c r="C33" s="8">
        <v>766</v>
      </c>
      <c r="D33" s="8">
        <v>802</v>
      </c>
      <c r="E33" s="8">
        <v>850</v>
      </c>
      <c r="F33" s="8">
        <v>783</v>
      </c>
      <c r="G33" s="8">
        <v>805</v>
      </c>
      <c r="H33" s="8">
        <v>807</v>
      </c>
      <c r="I33" s="8">
        <v>792</v>
      </c>
      <c r="J33" s="8">
        <v>789</v>
      </c>
      <c r="K33" s="8">
        <v>808</v>
      </c>
      <c r="L33" s="8">
        <v>809</v>
      </c>
      <c r="M33" s="8">
        <v>807</v>
      </c>
      <c r="N33" s="8">
        <v>844</v>
      </c>
      <c r="O33" s="8">
        <v>840</v>
      </c>
      <c r="P33" s="8">
        <v>850</v>
      </c>
      <c r="Q33" s="8">
        <v>825</v>
      </c>
      <c r="R33" s="8">
        <v>886</v>
      </c>
      <c r="S33" s="8">
        <v>800</v>
      </c>
      <c r="T33" s="8">
        <v>793</v>
      </c>
      <c r="U33" s="8">
        <v>887</v>
      </c>
      <c r="V33" s="8">
        <v>759</v>
      </c>
    </row>
    <row r="34" spans="1:22" x14ac:dyDescent="0.35">
      <c r="A34" t="s">
        <v>1</v>
      </c>
      <c r="B34" t="s">
        <v>11</v>
      </c>
      <c r="C34">
        <v>765</v>
      </c>
      <c r="D34">
        <v>801</v>
      </c>
      <c r="E34">
        <v>850</v>
      </c>
      <c r="F34">
        <v>782</v>
      </c>
      <c r="G34">
        <v>803</v>
      </c>
      <c r="H34">
        <v>806</v>
      </c>
      <c r="I34">
        <v>792</v>
      </c>
      <c r="J34">
        <v>789</v>
      </c>
      <c r="K34">
        <v>808</v>
      </c>
      <c r="L34">
        <v>809</v>
      </c>
      <c r="M34">
        <v>806</v>
      </c>
      <c r="N34">
        <v>844</v>
      </c>
      <c r="O34">
        <v>839</v>
      </c>
      <c r="P34">
        <v>850</v>
      </c>
      <c r="Q34">
        <v>825</v>
      </c>
      <c r="R34">
        <v>882</v>
      </c>
      <c r="S34">
        <v>800</v>
      </c>
      <c r="T34">
        <v>792</v>
      </c>
      <c r="U34">
        <v>886</v>
      </c>
      <c r="V34">
        <v>757</v>
      </c>
    </row>
    <row r="35" spans="1:22" x14ac:dyDescent="0.35">
      <c r="A35" t="s">
        <v>2</v>
      </c>
      <c r="B35" t="s">
        <v>58</v>
      </c>
      <c r="C35">
        <v>331</v>
      </c>
      <c r="D35">
        <v>331</v>
      </c>
      <c r="E35">
        <v>331</v>
      </c>
      <c r="F35">
        <v>331</v>
      </c>
      <c r="G35">
        <v>331</v>
      </c>
      <c r="H35">
        <v>331</v>
      </c>
      <c r="I35">
        <v>331</v>
      </c>
      <c r="J35">
        <v>331</v>
      </c>
      <c r="K35">
        <v>331</v>
      </c>
      <c r="L35">
        <v>331</v>
      </c>
      <c r="M35">
        <v>331</v>
      </c>
      <c r="N35">
        <v>331</v>
      </c>
      <c r="O35">
        <v>331</v>
      </c>
      <c r="P35">
        <v>331</v>
      </c>
      <c r="Q35">
        <v>331</v>
      </c>
      <c r="R35">
        <v>331</v>
      </c>
      <c r="S35">
        <v>331</v>
      </c>
      <c r="T35">
        <v>331</v>
      </c>
      <c r="U35">
        <v>331</v>
      </c>
      <c r="V35">
        <v>331</v>
      </c>
    </row>
    <row r="36" spans="1:22" x14ac:dyDescent="0.35">
      <c r="A36" t="s">
        <v>3</v>
      </c>
      <c r="B36" t="s">
        <v>13</v>
      </c>
      <c r="C36">
        <v>67</v>
      </c>
      <c r="D36">
        <v>67</v>
      </c>
      <c r="E36">
        <v>67</v>
      </c>
      <c r="F36">
        <v>67</v>
      </c>
      <c r="G36">
        <v>67</v>
      </c>
      <c r="H36">
        <v>67</v>
      </c>
      <c r="I36">
        <v>67</v>
      </c>
      <c r="J36">
        <v>67</v>
      </c>
      <c r="K36">
        <v>67</v>
      </c>
      <c r="L36">
        <v>67</v>
      </c>
      <c r="M36">
        <v>67</v>
      </c>
      <c r="N36">
        <v>67</v>
      </c>
      <c r="O36">
        <v>67</v>
      </c>
      <c r="P36">
        <v>67</v>
      </c>
      <c r="Q36">
        <v>67</v>
      </c>
      <c r="R36">
        <v>67</v>
      </c>
      <c r="S36">
        <v>67</v>
      </c>
      <c r="T36">
        <v>67</v>
      </c>
      <c r="U36">
        <v>67</v>
      </c>
      <c r="V36">
        <v>67</v>
      </c>
    </row>
    <row r="37" spans="1:22" x14ac:dyDescent="0.35">
      <c r="A37" t="s">
        <v>25</v>
      </c>
      <c r="B37" t="s">
        <v>14</v>
      </c>
      <c r="C37">
        <v>96.06</v>
      </c>
      <c r="D37">
        <v>178.28</v>
      </c>
      <c r="E37">
        <v>182.95</v>
      </c>
      <c r="F37">
        <v>174.55</v>
      </c>
      <c r="G37">
        <v>179.57</v>
      </c>
      <c r="H37">
        <v>167.62</v>
      </c>
      <c r="I37">
        <v>135.22999999999999</v>
      </c>
      <c r="J37">
        <v>69.64</v>
      </c>
      <c r="K37">
        <v>193.76</v>
      </c>
      <c r="L37">
        <v>179.6</v>
      </c>
      <c r="M37">
        <v>167.62</v>
      </c>
      <c r="N37">
        <v>169.15</v>
      </c>
      <c r="O37">
        <v>181.59</v>
      </c>
      <c r="P37">
        <v>182.72</v>
      </c>
      <c r="Q37">
        <v>181.19</v>
      </c>
      <c r="R37">
        <v>155.97999999999999</v>
      </c>
      <c r="S37">
        <v>163.51</v>
      </c>
      <c r="T37">
        <v>159.87</v>
      </c>
      <c r="U37">
        <v>184.81</v>
      </c>
      <c r="V37">
        <v>98.44</v>
      </c>
    </row>
    <row r="38" spans="1:22" x14ac:dyDescent="0.35">
      <c r="A38" t="s">
        <v>4</v>
      </c>
      <c r="B38" t="s">
        <v>15</v>
      </c>
      <c r="C38">
        <v>10.41</v>
      </c>
      <c r="D38">
        <v>5.61</v>
      </c>
      <c r="E38">
        <v>5.47</v>
      </c>
      <c r="F38">
        <v>5.73</v>
      </c>
      <c r="G38">
        <v>5.57</v>
      </c>
      <c r="H38">
        <v>5.97</v>
      </c>
      <c r="I38">
        <v>7.39</v>
      </c>
      <c r="J38">
        <v>14.36</v>
      </c>
      <c r="K38">
        <v>5.16</v>
      </c>
      <c r="L38">
        <v>5.57</v>
      </c>
      <c r="M38">
        <v>5.97</v>
      </c>
      <c r="N38">
        <v>5.91</v>
      </c>
      <c r="O38">
        <v>5.51</v>
      </c>
      <c r="P38">
        <v>5.47</v>
      </c>
      <c r="Q38">
        <v>5.52</v>
      </c>
      <c r="R38">
        <v>6.41</v>
      </c>
      <c r="S38">
        <v>6.11</v>
      </c>
      <c r="T38">
        <v>6.26</v>
      </c>
      <c r="U38">
        <v>5.41</v>
      </c>
      <c r="V38">
        <v>10.16</v>
      </c>
    </row>
    <row r="39" spans="1:22" x14ac:dyDescent="0.35">
      <c r="A39" t="s">
        <v>26</v>
      </c>
      <c r="B39" t="s">
        <v>16</v>
      </c>
      <c r="C39">
        <v>80.2</v>
      </c>
      <c r="D39">
        <v>80.180000000000007</v>
      </c>
      <c r="E39">
        <v>80.2</v>
      </c>
      <c r="F39">
        <v>80.180000000000007</v>
      </c>
      <c r="G39">
        <v>80.19</v>
      </c>
      <c r="H39">
        <v>80.2</v>
      </c>
      <c r="I39">
        <v>80.17</v>
      </c>
      <c r="J39">
        <v>80.19</v>
      </c>
      <c r="K39">
        <v>80.19</v>
      </c>
      <c r="L39">
        <v>80.2</v>
      </c>
      <c r="M39">
        <v>80.2</v>
      </c>
      <c r="N39">
        <v>80.180000000000007</v>
      </c>
      <c r="O39">
        <v>80.19</v>
      </c>
      <c r="P39">
        <v>80.2</v>
      </c>
      <c r="Q39">
        <v>80.19</v>
      </c>
      <c r="R39">
        <v>80.2</v>
      </c>
      <c r="S39">
        <v>80.19</v>
      </c>
      <c r="T39">
        <v>80.19</v>
      </c>
      <c r="U39">
        <v>80.2</v>
      </c>
      <c r="V39">
        <v>80.180000000000007</v>
      </c>
    </row>
    <row r="40" spans="1:22" x14ac:dyDescent="0.35">
      <c r="A40" t="s">
        <v>27</v>
      </c>
      <c r="B40" t="s">
        <v>17</v>
      </c>
      <c r="C40">
        <v>18.53</v>
      </c>
      <c r="D40">
        <v>16.690000000000001</v>
      </c>
      <c r="E40">
        <v>20.57</v>
      </c>
      <c r="F40">
        <v>16.8</v>
      </c>
      <c r="G40">
        <v>18.02</v>
      </c>
      <c r="H40">
        <v>19</v>
      </c>
      <c r="I40">
        <v>16.97</v>
      </c>
      <c r="J40">
        <v>18.57</v>
      </c>
      <c r="K40">
        <v>18.28</v>
      </c>
      <c r="L40">
        <v>20.85</v>
      </c>
      <c r="M40">
        <v>19</v>
      </c>
      <c r="N40">
        <v>17.739999999999998</v>
      </c>
      <c r="O40">
        <v>17.61</v>
      </c>
      <c r="P40">
        <v>19.149999999999999</v>
      </c>
      <c r="Q40">
        <v>18.5</v>
      </c>
      <c r="R40">
        <v>20.22</v>
      </c>
      <c r="S40">
        <v>18.64</v>
      </c>
      <c r="T40">
        <v>16.399999999999999</v>
      </c>
      <c r="U40">
        <v>19.420000000000002</v>
      </c>
      <c r="V40">
        <v>17.95</v>
      </c>
    </row>
    <row r="41" spans="1:22" x14ac:dyDescent="0.35">
      <c r="A41" t="s">
        <v>28</v>
      </c>
      <c r="B41" t="s">
        <v>30</v>
      </c>
      <c r="C41">
        <v>92.83</v>
      </c>
      <c r="D41">
        <v>90.61</v>
      </c>
      <c r="E41">
        <v>92.83</v>
      </c>
      <c r="F41">
        <v>88.91</v>
      </c>
      <c r="G41">
        <v>92.83</v>
      </c>
      <c r="H41">
        <v>92.83</v>
      </c>
      <c r="I41">
        <v>87.98</v>
      </c>
      <c r="J41">
        <v>91.61</v>
      </c>
      <c r="K41">
        <v>92.57</v>
      </c>
      <c r="L41">
        <v>92.6</v>
      </c>
      <c r="M41">
        <v>92.83</v>
      </c>
      <c r="N41">
        <v>90.23</v>
      </c>
      <c r="O41">
        <v>92.58</v>
      </c>
      <c r="P41">
        <v>92.83</v>
      </c>
      <c r="Q41">
        <v>92.83</v>
      </c>
      <c r="R41">
        <v>91.59</v>
      </c>
      <c r="S41">
        <v>92.09</v>
      </c>
      <c r="T41">
        <v>92.14</v>
      </c>
      <c r="U41">
        <v>92.83</v>
      </c>
      <c r="V41">
        <v>89.8</v>
      </c>
    </row>
    <row r="42" spans="1:22" x14ac:dyDescent="0.35">
      <c r="A42" t="s">
        <v>5</v>
      </c>
      <c r="B42" t="s">
        <v>18</v>
      </c>
      <c r="C42">
        <v>191.55</v>
      </c>
      <c r="D42">
        <v>187.47</v>
      </c>
      <c r="E42">
        <v>193.59</v>
      </c>
      <c r="F42">
        <v>185.89</v>
      </c>
      <c r="G42">
        <v>191.03</v>
      </c>
      <c r="H42">
        <v>192.03</v>
      </c>
      <c r="I42">
        <v>185.12</v>
      </c>
      <c r="J42">
        <v>190.37</v>
      </c>
      <c r="K42">
        <v>191.05</v>
      </c>
      <c r="L42">
        <v>193.65</v>
      </c>
      <c r="M42">
        <v>192.03</v>
      </c>
      <c r="N42">
        <v>188.15</v>
      </c>
      <c r="O42">
        <v>190.37</v>
      </c>
      <c r="P42">
        <v>192.17</v>
      </c>
      <c r="Q42">
        <v>191.52</v>
      </c>
      <c r="R42">
        <v>192.01</v>
      </c>
      <c r="S42">
        <v>190.93</v>
      </c>
      <c r="T42">
        <v>188.73</v>
      </c>
      <c r="U42">
        <v>192.44</v>
      </c>
      <c r="V42">
        <v>187.93</v>
      </c>
    </row>
    <row r="43" spans="1:22" x14ac:dyDescent="0.35">
      <c r="A43" t="s">
        <v>6</v>
      </c>
      <c r="B43" t="s">
        <v>19</v>
      </c>
      <c r="C43" s="2">
        <v>0.02</v>
      </c>
      <c r="D43" s="2">
        <v>0.02</v>
      </c>
      <c r="E43" s="2">
        <v>0.03</v>
      </c>
      <c r="F43" s="2">
        <v>0.02</v>
      </c>
      <c r="G43" s="2">
        <v>0.02</v>
      </c>
      <c r="H43" s="2">
        <v>0.02</v>
      </c>
      <c r="I43" s="2">
        <v>0.02</v>
      </c>
      <c r="J43" s="2">
        <v>0.02</v>
      </c>
      <c r="K43" s="2">
        <v>0.02</v>
      </c>
      <c r="L43" s="2">
        <v>0.02</v>
      </c>
      <c r="M43" s="2">
        <v>0.02</v>
      </c>
      <c r="N43" s="2">
        <v>0.03</v>
      </c>
      <c r="O43" s="2">
        <v>0.03</v>
      </c>
      <c r="P43" s="2">
        <v>0.03</v>
      </c>
      <c r="Q43" s="2">
        <v>0.02</v>
      </c>
      <c r="R43" s="2">
        <v>0.03</v>
      </c>
      <c r="S43" s="2">
        <v>0.02</v>
      </c>
      <c r="T43" s="2">
        <v>0.02</v>
      </c>
      <c r="U43" s="2">
        <v>0.03</v>
      </c>
      <c r="V43" s="2">
        <v>0.02</v>
      </c>
    </row>
    <row r="44" spans="1:22" s="6" customFormat="1" x14ac:dyDescent="0.35">
      <c r="A44" s="6" t="s">
        <v>41</v>
      </c>
      <c r="B44" s="6" t="s">
        <v>42</v>
      </c>
      <c r="C44" s="5" t="s">
        <v>43</v>
      </c>
      <c r="D44" s="6" t="s">
        <v>43</v>
      </c>
      <c r="E44" s="5" t="s">
        <v>43</v>
      </c>
      <c r="F44" s="6" t="s">
        <v>43</v>
      </c>
      <c r="G44" s="6" t="s">
        <v>43</v>
      </c>
      <c r="H44" s="6" t="s">
        <v>43</v>
      </c>
      <c r="I44" s="6" t="s">
        <v>43</v>
      </c>
      <c r="J44" s="6" t="s">
        <v>43</v>
      </c>
      <c r="K44" s="6" t="s">
        <v>43</v>
      </c>
      <c r="L44" s="6" t="s">
        <v>43</v>
      </c>
      <c r="M44" s="6" t="s">
        <v>43</v>
      </c>
      <c r="N44" s="6" t="s">
        <v>43</v>
      </c>
      <c r="O44" s="6" t="s">
        <v>43</v>
      </c>
      <c r="P44" s="6" t="s">
        <v>43</v>
      </c>
      <c r="Q44" s="6" t="s">
        <v>43</v>
      </c>
      <c r="R44" s="6" t="s">
        <v>43</v>
      </c>
      <c r="S44" s="6" t="s">
        <v>43</v>
      </c>
      <c r="T44" s="6" t="s">
        <v>43</v>
      </c>
      <c r="U44" s="6" t="s">
        <v>43</v>
      </c>
      <c r="V44" s="6" t="s">
        <v>43</v>
      </c>
    </row>
    <row r="45" spans="1:22" x14ac:dyDescent="0.35">
      <c r="A45" s="3" t="s">
        <v>48</v>
      </c>
      <c r="B45" s="3" t="s">
        <v>45</v>
      </c>
      <c r="C45" s="3">
        <f t="array" ref="C45:V45">C33:V33*C38:V38</f>
        <v>7974.06</v>
      </c>
      <c r="D45">
        <v>4499.22</v>
      </c>
      <c r="E45">
        <v>4649.5</v>
      </c>
      <c r="F45" s="3">
        <v>4486.59</v>
      </c>
      <c r="G45" s="3">
        <v>4483.8500000000004</v>
      </c>
      <c r="H45">
        <v>4817.79</v>
      </c>
      <c r="I45">
        <v>5852.88</v>
      </c>
      <c r="J45">
        <v>11330.039999999999</v>
      </c>
      <c r="K45">
        <v>4169.28</v>
      </c>
      <c r="L45">
        <v>4506.13</v>
      </c>
      <c r="M45">
        <v>4817.79</v>
      </c>
      <c r="N45">
        <v>4988.04</v>
      </c>
      <c r="O45">
        <v>4628.3999999999996</v>
      </c>
      <c r="P45">
        <v>4649.5</v>
      </c>
      <c r="Q45">
        <v>4554</v>
      </c>
      <c r="R45">
        <v>5679.26</v>
      </c>
      <c r="S45">
        <v>4888</v>
      </c>
      <c r="T45">
        <v>4964.1799999999994</v>
      </c>
      <c r="U45">
        <v>4798.67</v>
      </c>
      <c r="V45">
        <v>7711.4400000000005</v>
      </c>
    </row>
    <row r="46" spans="1:22" x14ac:dyDescent="0.35">
      <c r="A46" s="4" t="s">
        <v>50</v>
      </c>
      <c r="B46" s="4" t="s">
        <v>46</v>
      </c>
      <c r="C46" s="4">
        <f t="array" ref="C46:V46">C40:V40*C38:V38/1000</f>
        <v>0.19289729999999999</v>
      </c>
      <c r="D46" s="4">
        <v>9.3630900000000017E-2</v>
      </c>
      <c r="E46" s="4">
        <v>0.1125179</v>
      </c>
      <c r="F46" s="4">
        <v>9.6264000000000016E-2</v>
      </c>
      <c r="G46" s="4">
        <v>0.10037140000000001</v>
      </c>
      <c r="H46" s="4">
        <v>0.11342999999999999</v>
      </c>
      <c r="I46" s="4">
        <v>0.12540829999999997</v>
      </c>
      <c r="J46" s="4">
        <v>0.26666519999999999</v>
      </c>
      <c r="K46" s="4">
        <v>9.4324800000000014E-2</v>
      </c>
      <c r="L46" s="4">
        <v>0.11613450000000002</v>
      </c>
      <c r="M46" s="4">
        <v>0.11342999999999999</v>
      </c>
      <c r="N46" s="4">
        <v>0.10484339999999999</v>
      </c>
      <c r="O46" s="4">
        <v>9.7031099999999995E-2</v>
      </c>
      <c r="P46" s="4">
        <v>0.10475049999999998</v>
      </c>
      <c r="Q46" s="4">
        <v>0.10211999999999999</v>
      </c>
      <c r="R46" s="4">
        <v>0.12961019999999998</v>
      </c>
      <c r="S46" s="4">
        <v>0.11389040000000002</v>
      </c>
      <c r="T46" s="4">
        <v>0.10266399999999999</v>
      </c>
      <c r="U46" s="4">
        <v>0.10506220000000002</v>
      </c>
      <c r="V46" s="4">
        <v>0.18237199999999998</v>
      </c>
    </row>
    <row r="47" spans="1:22" x14ac:dyDescent="0.35">
      <c r="A47" s="3" t="s">
        <v>49</v>
      </c>
      <c r="B47" s="3" t="s">
        <v>47</v>
      </c>
      <c r="C47" s="3">
        <f t="array" ref="C47:V47">C40:V40*C38:V38*C38:V38/1000</f>
        <v>2.0080608930000001</v>
      </c>
      <c r="D47" s="3">
        <v>0.52526934900000011</v>
      </c>
      <c r="E47" s="3">
        <v>0.61547291299999995</v>
      </c>
      <c r="F47" s="3">
        <v>0.55159272000000015</v>
      </c>
      <c r="G47" s="3">
        <v>0.55906869800000003</v>
      </c>
      <c r="H47" s="3">
        <v>0.67717709999999987</v>
      </c>
      <c r="I47" s="3">
        <v>0.92676733699999991</v>
      </c>
      <c r="J47" s="3">
        <v>3.8293122719999992</v>
      </c>
      <c r="K47" s="3">
        <v>0.48671596800000011</v>
      </c>
      <c r="L47" s="3">
        <v>0.64686916500000013</v>
      </c>
      <c r="M47" s="3">
        <v>0.67717709999999987</v>
      </c>
      <c r="N47" s="3">
        <v>0.61962449399999986</v>
      </c>
      <c r="O47" s="3">
        <v>0.53464136099999993</v>
      </c>
      <c r="P47" s="3">
        <v>0.57298523499999987</v>
      </c>
      <c r="Q47" s="3">
        <v>0.56370239999999994</v>
      </c>
      <c r="R47" s="3">
        <v>0.83080138199999998</v>
      </c>
      <c r="S47" s="3">
        <v>0.69587034400000014</v>
      </c>
      <c r="T47" s="3">
        <v>0.64267663999999991</v>
      </c>
      <c r="U47" s="3">
        <v>0.56838650200000007</v>
      </c>
      <c r="V47" s="3">
        <v>1.85289952</v>
      </c>
    </row>
    <row r="48" spans="1:22" x14ac:dyDescent="0.35">
      <c r="A48" s="3" t="s">
        <v>76</v>
      </c>
      <c r="N48" t="s">
        <v>80</v>
      </c>
      <c r="O48" t="s">
        <v>79</v>
      </c>
      <c r="P48" t="s">
        <v>77</v>
      </c>
      <c r="Q48" t="s">
        <v>78</v>
      </c>
    </row>
    <row r="49" spans="1:20" x14ac:dyDescent="0.35">
      <c r="A49" s="3"/>
    </row>
    <row r="51" spans="1:20" x14ac:dyDescent="0.35">
      <c r="A51" s="12" t="s">
        <v>23</v>
      </c>
      <c r="B51" s="12"/>
    </row>
    <row r="52" spans="1:20" x14ac:dyDescent="0.35">
      <c r="A52" s="12" t="s">
        <v>24</v>
      </c>
      <c r="B52" s="12"/>
      <c r="S52" s="7"/>
      <c r="T52" s="1"/>
    </row>
    <row r="53" spans="1:20" x14ac:dyDescent="0.35">
      <c r="A53" s="12" t="s">
        <v>55</v>
      </c>
      <c r="B53" s="12"/>
      <c r="T53" s="1"/>
    </row>
    <row r="54" spans="1:20" x14ac:dyDescent="0.35">
      <c r="A54" s="12" t="s">
        <v>57</v>
      </c>
      <c r="B54" s="12"/>
    </row>
    <row r="55" spans="1:20" x14ac:dyDescent="0.35">
      <c r="A55" s="6"/>
      <c r="B55" s="6"/>
    </row>
    <row r="56" spans="1:20" x14ac:dyDescent="0.35">
      <c r="A56" s="1" t="s">
        <v>8</v>
      </c>
      <c r="B56" s="1" t="s">
        <v>9</v>
      </c>
      <c r="C56" s="1" t="s">
        <v>21</v>
      </c>
      <c r="D56" s="1" t="s">
        <v>29</v>
      </c>
      <c r="E56" s="1" t="s">
        <v>32</v>
      </c>
      <c r="F56" s="1" t="s">
        <v>31</v>
      </c>
      <c r="G56" s="1" t="s">
        <v>56</v>
      </c>
      <c r="H56" s="1" t="s">
        <v>33</v>
      </c>
      <c r="I56" s="1" t="s">
        <v>34</v>
      </c>
      <c r="J56" s="11" t="s">
        <v>38</v>
      </c>
      <c r="K56" s="11"/>
      <c r="L56" s="11"/>
      <c r="M56" s="11" t="s">
        <v>39</v>
      </c>
      <c r="N56" s="11"/>
      <c r="O56" s="11"/>
      <c r="P56" s="11" t="s">
        <v>40</v>
      </c>
      <c r="Q56" s="11"/>
    </row>
    <row r="57" spans="1:20" x14ac:dyDescent="0.35">
      <c r="A57" s="1"/>
      <c r="B57" s="1"/>
      <c r="C57" s="1"/>
      <c r="D57" s="1"/>
      <c r="E57" s="1"/>
      <c r="F57" s="1"/>
      <c r="G57" s="1"/>
      <c r="H57" s="1"/>
      <c r="I57" s="1"/>
      <c r="J57" s="1" t="s">
        <v>35</v>
      </c>
      <c r="K57" s="1" t="s">
        <v>36</v>
      </c>
      <c r="L57" s="1" t="s">
        <v>37</v>
      </c>
      <c r="M57" s="1" t="s">
        <v>35</v>
      </c>
      <c r="N57" s="1" t="s">
        <v>36</v>
      </c>
      <c r="O57" s="1" t="s">
        <v>37</v>
      </c>
      <c r="P57" s="1" t="s">
        <v>21</v>
      </c>
      <c r="Q57" s="1" t="s">
        <v>29</v>
      </c>
    </row>
    <row r="58" spans="1:20" x14ac:dyDescent="0.35">
      <c r="A58" t="s">
        <v>0</v>
      </c>
      <c r="B58" t="s">
        <v>10</v>
      </c>
      <c r="C58">
        <v>650</v>
      </c>
      <c r="D58">
        <v>633</v>
      </c>
      <c r="E58">
        <v>658</v>
      </c>
      <c r="F58">
        <v>809</v>
      </c>
      <c r="G58">
        <v>697</v>
      </c>
      <c r="H58">
        <v>866</v>
      </c>
      <c r="I58">
        <v>498</v>
      </c>
      <c r="J58">
        <v>984</v>
      </c>
      <c r="K58">
        <v>643</v>
      </c>
      <c r="L58">
        <v>739</v>
      </c>
      <c r="M58">
        <v>941</v>
      </c>
      <c r="N58">
        <v>616</v>
      </c>
      <c r="O58">
        <v>726</v>
      </c>
      <c r="P58">
        <v>769</v>
      </c>
      <c r="Q58">
        <v>720</v>
      </c>
    </row>
    <row r="59" spans="1:20" x14ac:dyDescent="0.35">
      <c r="A59" t="s">
        <v>1</v>
      </c>
      <c r="B59" t="s">
        <v>11</v>
      </c>
      <c r="C59">
        <v>648</v>
      </c>
      <c r="D59">
        <v>630</v>
      </c>
      <c r="E59">
        <v>657</v>
      </c>
      <c r="F59">
        <v>806</v>
      </c>
      <c r="G59">
        <v>696</v>
      </c>
      <c r="H59">
        <v>863</v>
      </c>
      <c r="I59">
        <v>496</v>
      </c>
      <c r="J59">
        <v>981</v>
      </c>
      <c r="K59">
        <v>641</v>
      </c>
      <c r="L59">
        <v>739</v>
      </c>
      <c r="M59">
        <v>940</v>
      </c>
      <c r="N59">
        <v>616</v>
      </c>
      <c r="O59">
        <v>726</v>
      </c>
      <c r="P59">
        <v>768</v>
      </c>
      <c r="Q59">
        <v>719</v>
      </c>
    </row>
    <row r="60" spans="1:20" x14ac:dyDescent="0.35">
      <c r="A60" t="s">
        <v>2</v>
      </c>
      <c r="B60" t="s">
        <v>12</v>
      </c>
      <c r="C60">
        <v>64</v>
      </c>
      <c r="D60">
        <v>64</v>
      </c>
      <c r="E60">
        <v>64</v>
      </c>
      <c r="F60">
        <v>64</v>
      </c>
      <c r="G60">
        <v>64</v>
      </c>
      <c r="H60">
        <v>64</v>
      </c>
      <c r="I60">
        <v>64</v>
      </c>
      <c r="J60">
        <v>64</v>
      </c>
      <c r="K60">
        <v>64</v>
      </c>
      <c r="L60">
        <v>64</v>
      </c>
      <c r="M60">
        <v>64</v>
      </c>
      <c r="N60">
        <v>64</v>
      </c>
      <c r="O60">
        <v>64</v>
      </c>
      <c r="P60">
        <v>64</v>
      </c>
      <c r="Q60">
        <v>64</v>
      </c>
    </row>
    <row r="61" spans="1:20" x14ac:dyDescent="0.35">
      <c r="A61" t="s">
        <v>3</v>
      </c>
      <c r="B61" t="s">
        <v>13</v>
      </c>
      <c r="C61">
        <v>65</v>
      </c>
      <c r="D61">
        <v>65</v>
      </c>
      <c r="E61">
        <v>65</v>
      </c>
      <c r="F61">
        <v>65</v>
      </c>
      <c r="G61">
        <v>65</v>
      </c>
      <c r="H61">
        <v>65</v>
      </c>
      <c r="I61">
        <v>65</v>
      </c>
      <c r="J61">
        <v>65</v>
      </c>
      <c r="K61">
        <v>65</v>
      </c>
      <c r="L61">
        <v>65</v>
      </c>
      <c r="M61">
        <v>65</v>
      </c>
      <c r="N61">
        <v>65</v>
      </c>
      <c r="O61">
        <v>65</v>
      </c>
      <c r="P61">
        <v>65</v>
      </c>
      <c r="Q61">
        <v>65</v>
      </c>
    </row>
    <row r="62" spans="1:20" x14ac:dyDescent="0.35">
      <c r="A62" t="s">
        <v>25</v>
      </c>
      <c r="B62" t="s">
        <v>14</v>
      </c>
      <c r="C62">
        <v>56.16</v>
      </c>
      <c r="D62">
        <v>57.32</v>
      </c>
      <c r="E62">
        <v>29.64</v>
      </c>
      <c r="F62">
        <v>29.67</v>
      </c>
      <c r="G62">
        <v>44.74</v>
      </c>
      <c r="H62">
        <v>51.04</v>
      </c>
      <c r="I62">
        <v>46.35</v>
      </c>
      <c r="J62">
        <v>52.16</v>
      </c>
      <c r="K62">
        <v>54.63</v>
      </c>
      <c r="L62">
        <v>49.67</v>
      </c>
      <c r="M62">
        <v>53.05</v>
      </c>
      <c r="N62">
        <v>55.98</v>
      </c>
      <c r="O62">
        <v>49.96</v>
      </c>
      <c r="P62">
        <v>62.9</v>
      </c>
      <c r="Q62">
        <v>54.91</v>
      </c>
    </row>
    <row r="63" spans="1:20" x14ac:dyDescent="0.35">
      <c r="A63" t="s">
        <v>4</v>
      </c>
      <c r="B63" t="s">
        <v>15</v>
      </c>
      <c r="C63">
        <v>17.809999999999999</v>
      </c>
      <c r="D63">
        <v>17.45</v>
      </c>
      <c r="E63">
        <v>33.74</v>
      </c>
      <c r="F63">
        <v>33.700000000000003</v>
      </c>
      <c r="G63">
        <v>22.35</v>
      </c>
      <c r="H63">
        <v>19.59</v>
      </c>
      <c r="I63">
        <v>21.57</v>
      </c>
      <c r="J63">
        <v>19.170000000000002</v>
      </c>
      <c r="K63">
        <v>18.3</v>
      </c>
      <c r="L63">
        <v>20.13</v>
      </c>
      <c r="M63">
        <v>18.850000000000001</v>
      </c>
      <c r="N63">
        <v>17.86</v>
      </c>
      <c r="O63">
        <v>20.010000000000002</v>
      </c>
      <c r="P63">
        <v>15.9</v>
      </c>
      <c r="Q63">
        <v>18.21</v>
      </c>
    </row>
    <row r="64" spans="1:20" x14ac:dyDescent="0.35">
      <c r="A64" t="s">
        <v>26</v>
      </c>
      <c r="B64" t="s">
        <v>16</v>
      </c>
      <c r="C64">
        <v>80.72</v>
      </c>
      <c r="D64">
        <v>80.849999999999994</v>
      </c>
      <c r="E64">
        <v>80.540000000000006</v>
      </c>
      <c r="F64">
        <v>86.24</v>
      </c>
      <c r="G64">
        <v>83.11</v>
      </c>
      <c r="H64">
        <v>80.849999999999994</v>
      </c>
      <c r="I64">
        <v>80.12</v>
      </c>
      <c r="J64">
        <v>80.3</v>
      </c>
      <c r="K64">
        <v>80.05</v>
      </c>
      <c r="L64">
        <v>80.010000000000005</v>
      </c>
      <c r="M64">
        <v>80.459999999999994</v>
      </c>
      <c r="N64">
        <v>80.040000000000006</v>
      </c>
      <c r="O64">
        <v>80.03</v>
      </c>
      <c r="P64">
        <v>81.02</v>
      </c>
      <c r="Q64">
        <v>80.75</v>
      </c>
      <c r="T64" s="2"/>
    </row>
    <row r="65" spans="1:23" x14ac:dyDescent="0.35">
      <c r="A65" t="s">
        <v>27</v>
      </c>
      <c r="B65" t="s">
        <v>17</v>
      </c>
      <c r="C65">
        <v>228.94</v>
      </c>
      <c r="D65">
        <v>266.29000000000002</v>
      </c>
      <c r="E65">
        <v>174.8</v>
      </c>
      <c r="F65">
        <v>1680</v>
      </c>
      <c r="G65">
        <v>892.08</v>
      </c>
      <c r="H65">
        <v>265.94</v>
      </c>
      <c r="I65">
        <v>51.9</v>
      </c>
      <c r="J65">
        <v>105.67</v>
      </c>
      <c r="K65">
        <v>29.51</v>
      </c>
      <c r="L65">
        <v>20.12</v>
      </c>
      <c r="M65">
        <v>151.04</v>
      </c>
      <c r="N65">
        <v>26.79</v>
      </c>
      <c r="O65">
        <v>25.05</v>
      </c>
      <c r="P65">
        <v>314.94</v>
      </c>
      <c r="Q65">
        <v>237.43</v>
      </c>
      <c r="T65" s="5"/>
    </row>
    <row r="66" spans="1:23" x14ac:dyDescent="0.35">
      <c r="A66" t="s">
        <v>28</v>
      </c>
      <c r="B66" t="s">
        <v>30</v>
      </c>
      <c r="C66">
        <v>37.24</v>
      </c>
      <c r="D66">
        <v>37.479999999999997</v>
      </c>
      <c r="E66">
        <v>37.700000000000003</v>
      </c>
      <c r="F66">
        <v>37.590000000000003</v>
      </c>
      <c r="G66">
        <v>37.520000000000003</v>
      </c>
      <c r="H66">
        <v>37.61</v>
      </c>
      <c r="I66">
        <v>37.700000000000003</v>
      </c>
      <c r="J66">
        <v>37.61</v>
      </c>
      <c r="K66">
        <v>37.64</v>
      </c>
      <c r="L66">
        <v>37.479999999999997</v>
      </c>
      <c r="M66">
        <v>37.58</v>
      </c>
      <c r="N66">
        <v>37.57</v>
      </c>
      <c r="O66">
        <v>37.590000000000003</v>
      </c>
      <c r="P66">
        <v>37.61</v>
      </c>
      <c r="Q66">
        <v>37.590000000000003</v>
      </c>
      <c r="T66" s="3"/>
    </row>
    <row r="67" spans="1:23" x14ac:dyDescent="0.35">
      <c r="A67" t="s">
        <v>5</v>
      </c>
      <c r="B67" t="s">
        <v>18</v>
      </c>
      <c r="C67">
        <v>346.9</v>
      </c>
      <c r="D67">
        <v>384.62</v>
      </c>
      <c r="E67">
        <v>293.04000000000002</v>
      </c>
      <c r="F67">
        <v>1803.83</v>
      </c>
      <c r="G67">
        <v>1012.71</v>
      </c>
      <c r="H67">
        <v>384.39</v>
      </c>
      <c r="I67">
        <v>169.72</v>
      </c>
      <c r="J67">
        <v>223.58</v>
      </c>
      <c r="K67">
        <v>147.19999999999999</v>
      </c>
      <c r="L67">
        <v>137.62</v>
      </c>
      <c r="M67">
        <v>269.08</v>
      </c>
      <c r="N67">
        <v>144.4</v>
      </c>
      <c r="O67">
        <v>142.66999999999999</v>
      </c>
      <c r="P67">
        <v>433.56</v>
      </c>
      <c r="Q67">
        <v>355.77</v>
      </c>
      <c r="T67" s="4"/>
    </row>
    <row r="68" spans="1:23" x14ac:dyDescent="0.35">
      <c r="A68" t="s">
        <v>6</v>
      </c>
      <c r="B68" t="s">
        <v>19</v>
      </c>
      <c r="C68" s="2">
        <v>0.02</v>
      </c>
      <c r="D68" s="2">
        <v>0.02</v>
      </c>
      <c r="E68" s="2">
        <v>0.02</v>
      </c>
      <c r="F68" s="2">
        <v>0.02</v>
      </c>
      <c r="G68" s="2">
        <v>0.02</v>
      </c>
      <c r="H68" s="2">
        <v>0.03</v>
      </c>
      <c r="I68" s="2">
        <v>0.01</v>
      </c>
      <c r="J68" s="2">
        <v>0.03</v>
      </c>
      <c r="K68" s="2">
        <v>0.02</v>
      </c>
      <c r="L68" s="2">
        <v>0.02</v>
      </c>
      <c r="M68" s="2">
        <v>0.03</v>
      </c>
      <c r="N68" s="2">
        <v>0.02</v>
      </c>
      <c r="O68" s="2">
        <v>0.02</v>
      </c>
      <c r="P68" s="2">
        <v>0.02</v>
      </c>
      <c r="Q68" s="2">
        <v>0.02</v>
      </c>
      <c r="T68" s="3"/>
    </row>
    <row r="69" spans="1:23" x14ac:dyDescent="0.35">
      <c r="A69" t="s">
        <v>41</v>
      </c>
      <c r="B69" t="s">
        <v>42</v>
      </c>
      <c r="C69" s="2" t="s">
        <v>43</v>
      </c>
      <c r="D69" s="2" t="s">
        <v>43</v>
      </c>
      <c r="E69" s="2" t="s">
        <v>43</v>
      </c>
      <c r="F69" s="2" t="s">
        <v>43</v>
      </c>
      <c r="G69" s="2" t="s">
        <v>43</v>
      </c>
      <c r="H69" s="2" t="s">
        <v>43</v>
      </c>
      <c r="I69" s="2" t="s">
        <v>43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</row>
    <row r="70" spans="1:23" x14ac:dyDescent="0.35">
      <c r="A70" s="3" t="s">
        <v>48</v>
      </c>
      <c r="B70" s="3" t="s">
        <v>45</v>
      </c>
      <c r="C70" s="3">
        <v>11576.5</v>
      </c>
      <c r="D70" s="3">
        <v>11045.85</v>
      </c>
      <c r="E70" s="3">
        <v>22200.92</v>
      </c>
      <c r="F70" s="3">
        <v>27263.3</v>
      </c>
      <c r="G70" s="3">
        <v>15577.95</v>
      </c>
      <c r="H70" s="3">
        <v>16964.939999999999</v>
      </c>
      <c r="I70" s="3">
        <v>10741.86</v>
      </c>
      <c r="J70" s="3">
        <v>18863.28</v>
      </c>
      <c r="K70" s="3">
        <v>11766.9</v>
      </c>
      <c r="L70" s="3">
        <v>14876.07</v>
      </c>
      <c r="M70" s="3">
        <v>17737.849999999999</v>
      </c>
      <c r="N70" s="3">
        <v>11001.76</v>
      </c>
      <c r="O70" s="3">
        <v>14527.26</v>
      </c>
      <c r="P70" s="3">
        <v>12227.1</v>
      </c>
      <c r="Q70" s="3">
        <v>13111.2</v>
      </c>
    </row>
    <row r="71" spans="1:23" x14ac:dyDescent="0.35">
      <c r="A71" s="4" t="s">
        <v>50</v>
      </c>
      <c r="B71" s="4" t="s">
        <v>46</v>
      </c>
      <c r="C71" s="4">
        <v>4.077</v>
      </c>
      <c r="D71" s="4">
        <v>4.6470000000000002</v>
      </c>
      <c r="E71" s="4">
        <v>5.8979999999999997</v>
      </c>
      <c r="F71" s="4">
        <v>56.616</v>
      </c>
      <c r="G71" s="4">
        <v>19.937999999999999</v>
      </c>
      <c r="H71" s="4">
        <v>5.21</v>
      </c>
      <c r="I71" s="4">
        <v>1.119</v>
      </c>
      <c r="J71" s="4">
        <v>2.0259999999999998</v>
      </c>
      <c r="K71" s="4">
        <v>0.54</v>
      </c>
      <c r="L71" s="4">
        <v>0.40500000000000003</v>
      </c>
      <c r="M71" s="4">
        <v>2.847</v>
      </c>
      <c r="N71" s="4">
        <v>0.47799999999999998</v>
      </c>
      <c r="O71" s="4">
        <v>0.501</v>
      </c>
      <c r="P71" s="4">
        <v>5.008</v>
      </c>
      <c r="Q71" s="4">
        <v>4.3239999999999998</v>
      </c>
      <c r="T71" s="10"/>
      <c r="U71" s="10"/>
      <c r="V71" s="10"/>
      <c r="W71" s="9"/>
    </row>
    <row r="72" spans="1:23" x14ac:dyDescent="0.35">
      <c r="A72" s="3" t="s">
        <v>49</v>
      </c>
      <c r="B72" s="3" t="s">
        <v>47</v>
      </c>
      <c r="C72" s="3">
        <v>72.619</v>
      </c>
      <c r="D72" s="3">
        <v>81.085999999999999</v>
      </c>
      <c r="E72" s="3">
        <v>198.99</v>
      </c>
      <c r="F72" s="3">
        <v>1907.96</v>
      </c>
      <c r="G72" s="3">
        <v>445.61</v>
      </c>
      <c r="H72" s="3">
        <v>102.06</v>
      </c>
      <c r="I72" s="3">
        <v>24.146999999999998</v>
      </c>
      <c r="J72" s="3">
        <v>38.83</v>
      </c>
      <c r="K72" s="3">
        <v>9.8819999999999997</v>
      </c>
      <c r="L72" s="3">
        <v>8.15</v>
      </c>
      <c r="M72" s="3">
        <v>53.67</v>
      </c>
      <c r="N72" s="3">
        <v>8.5449999999999999</v>
      </c>
      <c r="O72" s="3">
        <v>10.029999999999999</v>
      </c>
      <c r="P72" s="3">
        <v>79.62</v>
      </c>
      <c r="Q72" s="3">
        <v>78.73</v>
      </c>
      <c r="T72" s="9"/>
      <c r="U72" s="9"/>
      <c r="V72" s="9"/>
      <c r="W72" s="9"/>
    </row>
    <row r="73" spans="1:23" x14ac:dyDescent="0.35">
      <c r="T73" s="9"/>
      <c r="U73" s="9"/>
      <c r="V73" s="9"/>
      <c r="W73" s="9"/>
    </row>
  </sheetData>
  <mergeCells count="16">
    <mergeCell ref="A27:B27"/>
    <mergeCell ref="A28:B28"/>
    <mergeCell ref="A29:B29"/>
    <mergeCell ref="A1:XFD1"/>
    <mergeCell ref="A6:B6"/>
    <mergeCell ref="L8:N8"/>
    <mergeCell ref="O8:Q8"/>
    <mergeCell ref="R8:S8"/>
    <mergeCell ref="A5:B5"/>
    <mergeCell ref="P56:Q56"/>
    <mergeCell ref="J56:L56"/>
    <mergeCell ref="M56:O56"/>
    <mergeCell ref="A51:B51"/>
    <mergeCell ref="A52:B52"/>
    <mergeCell ref="A53:B53"/>
    <mergeCell ref="A54:B5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Das</dc:creator>
  <cp:lastModifiedBy>Anish Das</cp:lastModifiedBy>
  <dcterms:created xsi:type="dcterms:W3CDTF">2026-07-01T12:08:17Z</dcterms:created>
  <dcterms:modified xsi:type="dcterms:W3CDTF">2026-08-22T10:06:49Z</dcterms:modified>
</cp:coreProperties>
</file>